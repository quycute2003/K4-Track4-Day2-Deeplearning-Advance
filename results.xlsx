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a865af48344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ckbones" sheetId="1" r:id="R53346bd5de0c437d"/>
    <x:sheet xmlns:r="http://schemas.openxmlformats.org/officeDocument/2006/relationships" name="Training" sheetId="2" r:id="R1e36755468fd480c"/>
    <x:sheet xmlns:r="http://schemas.openxmlformats.org/officeDocument/2006/relationships" name="Inference" sheetId="3" r:id="R448cae5ea50c4a35"/>
    <x:sheet xmlns:r="http://schemas.openxmlformats.org/officeDocument/2006/relationships" name="Latency" sheetId="4" r:id="R6bb86797950843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0.000"/>
    <x:numFmt numFmtId="200" formatCode="0.00%"/>
    <x:numFmt numFmtId="201" formatCode="+0.000;-0.000;0.000"/>
    <x:numFmt numFmtId="202" formatCode="0.0000"/>
    <x:numFmt numFmtId="203" formatCode="0.00"/>
    <x:numFmt numFmtId="204" formatCode="0.000000"/>
    <x:numFmt numFmtId="205" formatCode="0.00000"/>
    <x:numFmt numFmtId="206" formatCode="0.00&quot;×&quot;"/>
    <x:numFmt numFmtId="207" formatCode="0.0"/>
  </x:numFmts>
  <x:fonts count="5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  <x:font>
      <x:sz val="10"/>
      <x:color rgb="FF243B53"/>
      <x:name val="Arial"/>
    </x:font>
    <x:font>
      <x:b/>
      <x:sz val="10"/>
      <x:color rgb="FF243B53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E4F0E9"/>
      </x:patternFill>
    </x:fill>
    <x:fill>
      <x:patternFill patternType="solid">
        <x:fgColor rgb="FF243B53"/>
      </x:patternFill>
    </x:fill>
  </x:fills>
  <x:borders count="1">
    <x:border/>
  </x:borders>
  <x:cellStyleXfs count="1">
    <x:xf numFmtId="0" fontId="0" fillId="0" borderId="0"/>
  </x:cellStyleXfs>
  <x:cellXfs count="45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center"/>
    </x:xf>
    <x:xf numFmtId="164" fontId="2" fillId="0" borderId="0" xfId="0" applyAlignment="1">
      <x:alignment vertical="center"/>
    </x:xf>
    <x:xf numFmtId="10" fontId="2" fillId="0" borderId="0" xfId="0" applyAlignment="1">
      <x:alignment vertical="center"/>
    </x:xf>
    <x:xf numFmtId="2" fontId="2" fillId="0" borderId="0" xfId="0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201" fontId="3" fillId="0" borderId="0" xfId="0" applyNumberFormat="1" applyFont="1" applyFill="1" applyBorder="1" applyAlignment="1">
      <x:alignment horizontal="right" vertical="center"/>
    </x:xf>
    <x:xf numFmtId="202" fontId="3" fillId="0" borderId="0" xfId="0" applyNumberFormat="1" applyFont="1" applyFill="1" applyBorder="1" applyAlignment="1">
      <x:alignment horizontal="right" vertical="center"/>
    </x:xf>
    <x:xf numFmtId="203" fontId="3" fillId="0" borderId="0" xfId="0" applyNumberFormat="1" applyFont="1" applyFill="1" applyBorder="1" applyAlignment="1">
      <x:alignment horizontal="right" vertical="center"/>
    </x:xf>
    <x:xf numFmtId="0" fontId="3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200" fontId="3" fillId="6" borderId="0" xfId="0" applyNumberFormat="1" applyFont="1" applyFill="1" applyBorder="1" applyAlignment="1">
      <x:alignment horizontal="right" vertical="center"/>
    </x:xf>
    <x:xf numFmtId="201" fontId="3" fillId="6" borderId="0" xfId="0" applyNumberFormat="1" applyFont="1" applyFill="1" applyBorder="1" applyAlignment="1">
      <x:alignment horizontal="right" vertical="center"/>
    </x:xf>
    <x:xf numFmtId="202" fontId="3" fillId="6" borderId="0" xfId="0" applyNumberFormat="1" applyFont="1" applyFill="1" applyBorder="1" applyAlignment="1">
      <x:alignment horizontal="right" vertical="center"/>
    </x:xf>
    <x:xf numFmtId="0" fontId="3" fillId="6" borderId="0" xfId="0" applyNumberFormat="1" applyFont="1" applyFill="1" applyBorder="1" applyAlignment="1">
      <x:alignment horizontal="right" vertical="center"/>
    </x:xf>
    <x:xf numFmtId="203" fontId="3" fillId="6" borderId="0" xfId="0" applyNumberFormat="1" applyFont="1" applyFill="1" applyBorder="1" applyAlignment="1">
      <x:alignment horizontal="right" vertical="center"/>
    </x:xf>
    <x:xf numFmtId="200" fontId="4" fillId="6" borderId="0" xfId="0" applyNumberFormat="1" applyFont="1" applyFill="1" applyBorder="1" applyAlignment="1">
      <x:alignment horizontal="right" vertical="center"/>
    </x:xf>
    <x:xf numFmtId="201" fontId="4" fillId="6" borderId="0" xfId="0" applyNumberFormat="1" applyFont="1" applyFill="1" applyBorder="1" applyAlignment="1">
      <x:alignment horizontal="right" vertical="center"/>
    </x:xf>
    <x:xf numFmtId="0" fontId="3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204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164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color rgb="FF805B10"/>
      </x:font>
      <x:fill>
        <x:patternFill>
          <x:bgColor rgb="FFFFF3CD"/>
        </x:patternFill>
      </x:fill>
    </x:dxf>
    <x:dxf>
      <x:font>
        <x:color rgb="FF805B10"/>
      </x:font>
      <x:fill>
        <x:patternFill>
          <x:bgColor rgb="FFFFF3CD"/>
        </x:patternFill>
      </x:fill>
    </x:dxf>
    <x:dxf>
      <x:font>
        <x:color rgb="FF805B10"/>
      </x:font>
      <x:fill>
        <x:patternFill>
          <x:bgColor rgb="FFFFF3C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7faf0120224287" /><Relationship Type="http://schemas.openxmlformats.org/officeDocument/2006/relationships/theme" Target="/xl/theme/theme1.xml" Id="R449d9102167a4bfb" /><Relationship Type="http://schemas.openxmlformats.org/officeDocument/2006/relationships/sharedStrings" Target="/xl/sharedStrings.xml" Id="R0b06e0b6eb844792" /><Relationship Type="http://schemas.openxmlformats.org/officeDocument/2006/relationships/worksheet" Target="/xl/worksheets/sheet1.xml" Id="R53346bd5de0c437d" /><Relationship Type="http://schemas.openxmlformats.org/officeDocument/2006/relationships/worksheet" Target="/xl/worksheets/sheet2.xml" Id="R1e36755468fd480c" /><Relationship Type="http://schemas.openxmlformats.org/officeDocument/2006/relationships/worksheet" Target="/xl/worksheets/sheet3.xml" Id="R448cae5ea50c4a35" /><Relationship Type="http://schemas.openxmlformats.org/officeDocument/2006/relationships/worksheet" Target="/xl/worksheets/sheet4.xml" Id="R6bb867979508431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baseColWidth="8" defaultRowHeight="15"/>
  <x:cols>
    <x:col min="1" max="1" width="22" customWidth="1"/>
    <x:col min="2" max="2" width="30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  <x:col min="15" max="15" width="22" customWidth="1"/>
    <x:col min="16" max="16" width="22" customWidth="1"/>
    <x:col min="17" max="17" width="22" customWidth="1"/>
    <x:col min="18" max="18" width="48" customWidth="1"/>
    <x:col min="19" max="19" width="48" customWidth="1"/>
  </x:cols>
  <x:sheetData>
    <x:row r="1" ht="42" customHeight="1">
      <x:c r="A1" s="1" t="inlineStr">
        <x:is>
          <x:t xml:space="preserve">exp_id</x:t>
        </x:is>
      </x:c>
      <x:c r="B1" s="1" t="inlineStr">
        <x:is>
          <x:t xml:space="preserve">backbone</x:t>
        </x:is>
      </x:c>
      <x:c r="C1" s="1" t="inlineStr">
        <x:is>
          <x:t xml:space="preserve">family</x:t>
        </x:is>
      </x:c>
      <x:c r="D1" s="1" t="inlineStr">
        <x:is>
          <x:t xml:space="preserve">pretrained_tag</x:t>
        </x:is>
      </x:c>
      <x:c r="E1" s="1" t="inlineStr">
        <x:is>
          <x:t xml:space="preserve">seed</x:t>
        </x:is>
      </x:c>
      <x:c r="F1" s="1" t="inlineStr">
        <x:is>
          <x:t xml:space="preserve">epochs</x:t>
        </x:is>
      </x:c>
      <x:c r="G1" s="1" t="inlineStr">
        <x:is>
          <x:t xml:space="preserve">batch_size</x:t>
        </x:is>
      </x:c>
      <x:c r="H1" s="1" t="inlineStr">
        <x:is>
          <x:t xml:space="preserve">params_m</x:t>
        </x:is>
      </x:c>
      <x:c r="I1" s="1" t="inlineStr">
        <x:is>
          <x:t xml:space="preserve">gmacs</x:t>
        </x:is>
      </x:c>
      <x:c r="J1" s="1" t="inlineStr">
        <x:is>
          <x:t xml:space="preserve">macro_f1_val</x:t>
        </x:is>
      </x:c>
      <x:c r="K1" s="1" t="inlineStr">
        <x:is>
          <x:t xml:space="preserve">top1_val</x:t>
        </x:is>
      </x:c>
      <x:c r="L1" s="1" t="inlineStr">
        <x:is>
          <x:t xml:space="preserve">best_epoch</x:t>
        </x:is>
      </x:c>
      <x:c r="M1" s="1" t="inlineStr">
        <x:is>
          <x:t xml:space="preserve">train_seconds_epoch</x:t>
        </x:is>
      </x:c>
      <x:c r="N1" s="1" t="inlineStr">
        <x:is>
          <x:t xml:space="preserve">train_val_seconds_epoch</x:t>
        </x:is>
      </x:c>
      <x:c r="O1" s="1" t="inlineStr">
        <x:is>
          <x:t xml:space="preserve">latency_ms_batch1_fp32</x:t>
        </x:is>
      </x:c>
      <x:c r="P1" s="1" t="inlineStr">
        <x:is>
          <x:t xml:space="preserve">gpu</x:t>
        </x:is>
      </x:c>
      <x:c r="Q1" s="1" t="inlineStr">
        <x:is>
          <x:t xml:space="preserve">status</x:t>
        </x:is>
      </x:c>
      <x:c r="R1" s="1" t="inlineStr">
        <x:is>
          <x:t xml:space="preserve">config_path</x:t>
        </x:is>
      </x:c>
      <x:c r="S1" s="1" t="inlineStr">
        <x:is>
          <x:t xml:space="preserve">curve_path</x:t>
        </x:is>
      </x:c>
    </x:row>
    <x:row r="2">
      <x:c r="A2" s="2" t="inlineStr">
        <x:is>
          <x:t xml:space="preserve">B01</x:t>
        </x:is>
      </x:c>
      <x:c r="B2" s="2" t="inlineStr">
        <x:is>
          <x:t xml:space="preserve">resnet50</x:t>
        </x:is>
      </x:c>
      <x:c r="C2" s="2" t="inlineStr">
        <x:is>
          <x:t xml:space="preserve">ResNet</x:t>
        </x:is>
      </x:c>
      <x:c r="D2" s="2" t="inlineStr">
        <x:is>
          <x:t xml:space="preserve">a1_in1k</x:t>
        </x:is>
      </x:c>
      <x:c r="E2" s="2" t="n">
        <x:v>0</x:v>
      </x:c>
      <x:c r="F2" s="2" t="n">
        <x:v>10</x:v>
      </x:c>
      <x:c r="G2" s="2" t="n">
        <x:v>32</x:v>
      </x:c>
      <x:c r="H2" s="3" t="n">
        <x:v>23.526473</x:v>
      </x:c>
      <x:c r="I2" s="3" t="n">
        <x:v>4.109483008</x:v>
      </x:c>
      <x:c r="J2" s="4" t="n">
        <x:v>0.8573082323737379</x:v>
      </x:c>
      <x:c r="K2" s="4" t="n">
        <x:v>0.8931733790345615</x:v>
      </x:c>
      <x:c r="L2" s="2" t="n">
        <x:v>10</x:v>
      </x:c>
      <x:c r="M2" s="5" t="n">
        <x:v>49.22621752440002</x:v>
      </x:c>
      <x:c r="N2" s="5" t="n">
        <x:v>61.4708480665</x:v>
      </x:c>
      <x:c r="O2" s="3" t="n">
        <x:v>9.531718000289402</x:v>
      </x:c>
      <x:c r="P2" s="2" t="inlineStr">
        <x:is>
          <x:t xml:space="preserve">Tesla T4</x:t>
        </x:is>
      </x:c>
      <x:c r="Q2" s="2" t="inlineStr">
        <x:is>
          <x:t xml:space="preserve">Đủ kết quả</x:t>
        </x:is>
      </x:c>
      <x:c r="R2" s="2" t="inlineStr">
        <x:is>
          <x:t xml:space="preserve">runs/B01/seed0/config.json</x:t>
        </x:is>
      </x:c>
      <x:c r="S2" s="2" t="inlineStr">
        <x:is>
          <x:t xml:space="preserve">curves/B01_resnet50_seed0.png</x:t>
        </x:is>
      </x:c>
    </x:row>
    <x:row r="3">
      <x:c r="A3" s="2" t="inlineStr">
        <x:is>
          <x:t xml:space="preserve">B02</x:t>
        </x:is>
      </x:c>
      <x:c r="B3" s="2" t="inlineStr">
        <x:is>
          <x:t xml:space="preserve">resnext50_32x4d</x:t>
        </x:is>
      </x:c>
      <x:c r="C3" s="2" t="inlineStr">
        <x:is>
          <x:t xml:space="preserve">ResNeXt</x:t>
        </x:is>
      </x:c>
      <x:c r="D3" s="2" t="inlineStr">
        <x:is>
          <x:t xml:space="preserve">a1h_in1k</x:t>
        </x:is>
      </x:c>
      <x:c r="E3" s="2" t="n">
        <x:v>0</x:v>
      </x:c>
      <x:c r="F3" s="2" t="n">
        <x:v>10</x:v>
      </x:c>
      <x:c r="G3" s="2" t="n">
        <x:v>32</x:v>
      </x:c>
      <x:c r="H3" s="3" t="n">
        <x:v>22.998345</x:v>
      </x:c>
      <x:c r="I3" s="3" t="n">
        <x:v>4.25735168</x:v>
      </x:c>
      <x:c r="J3" s="4" t="n">
        <x:v>0.8327761215168558</x:v>
      </x:c>
      <x:c r="K3" s="4" t="n">
        <x:v>0.8691802342187946</x:v>
      </x:c>
      <x:c r="L3" s="2" t="n">
        <x:v>7</x:v>
      </x:c>
      <x:c r="M3" s="5" t="n">
        <x:v>58.04206934779999</x:v>
      </x:c>
      <x:c r="N3" s="5" t="n">
        <x:v>74.10097550439995</x:v>
      </x:c>
      <x:c r="O3" s="3" t="n">
        <x:v>16.97564000005514</x:v>
      </x:c>
      <x:c r="P3" s="2" t="inlineStr">
        <x:is>
          <x:t xml:space="preserve">Tesla T4</x:t>
        </x:is>
      </x:c>
      <x:c r="Q3" s="2" t="inlineStr">
        <x:is>
          <x:t xml:space="preserve">Đủ kết quả</x:t>
        </x:is>
      </x:c>
      <x:c r="R3" s="2" t="inlineStr">
        <x:is>
          <x:t xml:space="preserve">runs/B02/seed0/config.json</x:t>
        </x:is>
      </x:c>
      <x:c r="S3" s="2" t="inlineStr">
        <x:is>
          <x:t xml:space="preserve">curves/B02_resnext50_32x4d_seed0.png</x:t>
        </x:is>
      </x:c>
    </x:row>
    <x:row r="4">
      <x:c r="A4" s="2" t="inlineStr">
        <x:is>
          <x:t xml:space="preserve">B03</x:t>
        </x:is>
      </x:c>
      <x:c r="B4" s="2" t="inlineStr">
        <x:is>
          <x:t xml:space="preserve">convnext_tiny</x:t>
        </x:is>
      </x:c>
      <x:c r="C4" s="2" t="inlineStr">
        <x:is>
          <x:t xml:space="preserve">ConvNeXt</x:t>
        </x:is>
      </x:c>
      <x:c r="D4" s="2" t="inlineStr">
        <x:is>
          <x:t xml:space="preserve">fb_in1k</x:t>
        </x:is>
      </x:c>
      <x:c r="E4" s="2" t="n">
        <x:v>0</x:v>
      </x:c>
      <x:c r="F4" s="2" t="n">
        <x:v>10</x:v>
      </x:c>
      <x:c r="G4" s="2" t="n">
        <x:v>32</x:v>
      </x:c>
      <x:c r="H4" s="3" t="n">
        <x:v>27.827049</x:v>
      </x:c>
      <x:c r="I4" s="3" t="n">
        <x:v>4.469676288</x:v>
      </x:c>
      <x:c r="J4" s="4" t="n">
        <x:v>0.9630281550883212</x:v>
      </x:c>
      <x:c r="K4" s="4" t="n">
        <x:v>0.9737217937732077</x:v>
      </x:c>
      <x:c r="L4" s="2" t="n">
        <x:v>9</x:v>
      </x:c>
      <x:c r="M4" s="5" t="n">
        <x:v>63.28011739890007</x:v>
      </x:c>
      <x:c r="N4" s="5" t="n">
        <x:v>78.16264303100006</x:v>
      </x:c>
      <x:c r="O4" s="3" t="n">
        <x:v>7.29326000009678</x:v>
      </x:c>
      <x:c r="P4" s="2" t="inlineStr">
        <x:is>
          <x:t xml:space="preserve">Tesla T4</x:t>
        </x:is>
      </x:c>
      <x:c r="Q4" s="2" t="inlineStr">
        <x:is>
          <x:t xml:space="preserve">Đủ kết quả</x:t>
        </x:is>
      </x:c>
      <x:c r="R4" s="2" t="inlineStr">
        <x:is>
          <x:t xml:space="preserve">runs/B03/seed0/config.json</x:t>
        </x:is>
      </x:c>
      <x:c r="S4" s="2" t="inlineStr">
        <x:is>
          <x:t xml:space="preserve">curves/B03_convnext_tiny_seed0.png</x:t>
        </x:is>
      </x:c>
    </x:row>
    <x:row r="5">
      <x:c r="A5" s="2" t="inlineStr">
        <x:is>
          <x:t xml:space="preserve">B04</x:t>
        </x:is>
      </x:c>
      <x:c r="B5" s="2" t="inlineStr">
        <x:is>
          <x:t xml:space="preserve">deit_small_patch16_224</x:t>
        </x:is>
      </x:c>
      <x:c r="C5" s="2" t="inlineStr">
        <x:is>
          <x:t xml:space="preserve">Transformer</x:t>
        </x:is>
      </x:c>
      <x:c r="D5" s="2" t="inlineStr">
        <x:is>
          <x:t xml:space="preserve">fb_in1k</x:t>
        </x:is>
      </x:c>
      <x:c r="E5" s="2" t="n">
        <x:v>0</x:v>
      </x:c>
      <x:c r="F5" s="2" t="n">
        <x:v>10</x:v>
      </x:c>
      <x:c r="G5" s="2" t="n">
        <x:v>32</x:v>
      </x:c>
      <x:c r="H5" s="3" t="n">
        <x:v>21.669129</x:v>
      </x:c>
      <x:c r="I5" s="3" t="n">
        <x:v>4.60795776</x:v>
      </x:c>
      <x:c r="J5" s="4" t="n">
        <x:v>0.9557499053818321</x:v>
      </x:c>
      <x:c r="K5" s="4" t="n">
        <x:v>0.9685804055984004</x:v>
      </x:c>
      <x:c r="L5" s="2" t="n">
        <x:v>9</x:v>
      </x:c>
      <x:c r="M5" s="5" t="n">
        <x:v>43.03982475029984</x:v>
      </x:c>
      <x:c r="N5" s="5" t="n">
        <x:v>55.14040234149998</x:v>
      </x:c>
      <x:c r="O5" s="3" t="n">
        <x:v>4.644075000214798</x:v>
      </x:c>
      <x:c r="P5" s="2" t="inlineStr">
        <x:is>
          <x:t xml:space="preserve">Tesla T4</x:t>
        </x:is>
      </x:c>
      <x:c r="Q5" s="2" t="inlineStr">
        <x:is>
          <x:t xml:space="preserve">Đủ kết quả</x:t>
        </x:is>
      </x:c>
      <x:c r="R5" s="2" t="inlineStr">
        <x:is>
          <x:t xml:space="preserve">runs/B04/seed0/config.json</x:t>
        </x:is>
      </x:c>
      <x:c r="S5" s="2" t="inlineStr">
        <x:is>
          <x:t xml:space="preserve">curves/B04_deit_small_patch16_224_seed0.png</x:t>
        </x:is>
      </x:c>
    </x:row>
    <x:row r="6">
      <x:c r="A6" s="2" t="inlineStr">
        <x:is>
          <x:t xml:space="preserve">B05</x:t>
        </x:is>
      </x:c>
      <x:c r="B6" s="2" t="inlineStr">
        <x:is>
          <x:t xml:space="preserve">efficientnet_b0</x:t>
        </x:is>
      </x:c>
      <x:c r="C6" s="2" t="inlineStr">
        <x:is>
          <x:t xml:space="preserve">Lightweight</x:t>
        </x:is>
      </x:c>
      <x:c r="D6" s="2" t="inlineStr">
        <x:is>
          <x:t xml:space="preserve">ra_in1k</x:t>
        </x:is>
      </x:c>
      <x:c r="E6" s="2" t="n">
        <x:v>0</x:v>
      </x:c>
      <x:c r="F6" s="2" t="n">
        <x:v>10</x:v>
      </x:c>
      <x:c r="G6" s="2" t="n">
        <x:v>32</x:v>
      </x:c>
      <x:c r="H6" s="3" t="n">
        <x:v>4.019077</x:v>
      </x:c>
      <x:c r="I6" s="3" t="n">
        <x:v>0.398084384</x:v>
      </x:c>
      <x:c r="J6" s="4" t="n">
        <x:v>0.8592849999001916</x:v>
      </x:c>
      <x:c r="K6" s="4" t="n">
        <x:v>0.8934590117109398</x:v>
      </x:c>
      <x:c r="L6" s="2" t="n">
        <x:v>9</x:v>
      </x:c>
      <x:c r="M6" s="5" t="n">
        <x:v>46.75870815050003</x:v>
      </x:c>
      <x:c r="N6" s="5" t="n">
        <x:v>54.63068402609997</x:v>
      </x:c>
      <x:c r="O6" s="3" t="n">
        <x:v>7.526886000050581</x:v>
      </x:c>
      <x:c r="P6" s="2" t="inlineStr">
        <x:is>
          <x:t xml:space="preserve">Tesla T4</x:t>
        </x:is>
      </x:c>
      <x:c r="Q6" s="2" t="inlineStr">
        <x:is>
          <x:t xml:space="preserve">Đủ kết quả</x:t>
        </x:is>
      </x:c>
      <x:c r="R6" s="2" t="inlineStr">
        <x:is>
          <x:t xml:space="preserve">runs/B05/seed0/config.json</x:t>
        </x:is>
      </x:c>
      <x:c r="S6" s="2" t="inlineStr">
        <x:is>
          <x:t xml:space="preserve">curves/B05_efficientnet_b0_seed0.png</x:t>
        </x:is>
      </x:c>
    </x:row>
    <x:row r="9">
      <x:c r="A9" t="inlineStr">
        <x:is>
          <x:t xml:space="preserve">T00: 10 epoch, batch 32, seed 0. Một seed mỗi backbone; chỉ val.</x:t>
        </x:is>
      </x:c>
    </x:row>
    <x:row r="10">
      <x:c r="A10" t="inlineStr">
        <x:is>
          <x:t xml:space="preserve">Latency sơ bộ: FP32, batch 1, 10 warmup + một forward; chỉ thời gian model trên GPU.</x:t>
        </x:is>
      </x:c>
    </x:row>
    <x:row r="11">
      <x:c r="A11" t="inlineStr">
        <x:is>
          <x:t xml:space="preserve">Nguồn: runs/B0x/seed0/{config,history,summary,latency_preliminary}.json/csv.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8.130000114440918" hidden="0" customWidth="1"/>
    <x:col min="2" max="2" width="18.75" hidden="0" customWidth="1"/>
    <x:col min="3" max="3" width="6.880000114440918" hidden="0" customWidth="1"/>
    <x:col min="4" max="4" width="18.1299991607666" hidden="0" customWidth="1"/>
    <x:col min="5" max="5" width="30.6299991607666" hidden="0" customWidth="1"/>
    <x:col min="6" max="6" width="18.75" hidden="0" customWidth="1"/>
    <x:col min="7" max="7" width="18.7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8.1299991607666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8.1299991607666" hidden="0" customWidth="1"/>
    <x:col min="26" max="26" width="21.8799991607666" hidden="0" customWidth="1"/>
    <x:col min="27" max="27" width="45" hidden="0" customWidth="1"/>
    <x:col min="28" max="28" width="45" hidden="0" customWidth="1"/>
  </x:cols>
  <x:sheetData>
    <x:row r="1" ht="44" customHeight="1">
      <x:c r="A1" s="25" t="str">
        <x:v>exp_id</x:v>
      </x:c>
      <x:c r="B1" s="25" t="str">
        <x:v>backbone</x:v>
      </x:c>
      <x:c r="C1" s="25" t="str">
        <x:v>seed</x:v>
      </x:c>
      <x:c r="D1" s="25" t="str">
        <x:v>Trục</x:v>
      </x:c>
      <x:c r="E1" s="25" t="str">
        <x:v>Biến thể</x:v>
      </x:c>
      <x:c r="F1" s="25" t="str">
        <x:v>base_exp_id</x:v>
      </x:c>
      <x:c r="G1" s="25" t="str">
        <x:v>Khác T00</x:v>
      </x:c>
      <x:c r="H1" s="25" t="str">
        <x:v>Macro-F1 val</x:v>
      </x:c>
      <x:c r="I1" s="25" t="str">
        <x:v>Δ F1 (pp)</x:v>
      </x:c>
      <x:c r="J1" s="25" t="str">
        <x:v>Top-1 val</x:v>
      </x:c>
      <x:c r="K1" s="25" t="str">
        <x:v>ECE val</x:v>
      </x:c>
      <x:c r="L1" s="25" t="str">
        <x:v>NLL val</x:v>
      </x:c>
      <x:c r="M1" s="25" t="str">
        <x:v>Balanced acc val</x:v>
      </x:c>
      <x:c r="N1" s="25" t="str">
        <x:v>F1 Chinee Apple</x:v>
      </x:c>
      <x:c r="O1" s="25" t="str">
        <x:v>F1 Snake Weed</x:v>
      </x:c>
      <x:c r="P1" s="25" t="str">
        <x:v>best_epoch</x:v>
      </x:c>
      <x:c r="Q1" s="25" t="str">
        <x:v>Train (s/epoch)</x:v>
      </x:c>
      <x:c r="R1" s="25" t="str">
        <x:v>Trạng thái</x:v>
      </x:c>
      <x:c r="S1" s="25" t="str">
        <x:v>init</x:v>
      </x:c>
      <x:c r="T1" s="25" t="str">
        <x:v>aug</x:v>
      </x:c>
      <x:c r="U1" s="25" t="str">
        <x:v>mix</x:v>
      </x:c>
      <x:c r="V1" s="25" t="str">
        <x:v>loss</x:v>
      </x:c>
      <x:c r="W1" s="25" t="str">
        <x:v>label_smoothing</x:v>
      </x:c>
      <x:c r="X1" s="25" t="str">
        <x:v>focal_gamma</x:v>
      </x:c>
      <x:c r="Y1" s="25" t="str">
        <x:v>pretrained_tag</x:v>
      </x:c>
      <x:c r="Z1" s="25" t="str">
        <x:v>Ghi chú</x:v>
      </x:c>
      <x:c r="AA1" s="25" t="str">
        <x:v>Cấu hình nguồn</x:v>
      </x:c>
      <x:c r="AB1" s="25" t="str">
        <x:v>Biểu đồ nguồn</x:v>
      </x:c>
    </x:row>
    <x:row r="2" ht="40" customHeight="1">
      <x:c r="A2" s="7" t="str">
        <x:v>T00</x:v>
      </x:c>
      <x:c r="B2" s="7" t="str">
        <x:v>convnext_tiny</x:v>
      </x:c>
      <x:c r="C2" s="7" t="n">
        <x:v>0</x:v>
      </x:c>
      <x:c r="D2" s="7" t="str">
        <x:v>Baseline</x:v>
      </x:c>
      <x:c r="E2" s="12" t="str">
        <x:v>B03 reused; no new training</x:v>
      </x:c>
      <x:c r="F2" s="12" t="str">
        <x:v>T00 (=B03)</x:v>
      </x:c>
      <x:c r="G2" s="12" t="str"/>
      <x:c r="H2" s="14" t="n">
        <x:v>0.9630281550883212</x:v>
      </x:c>
      <x:c r="I2" s="15" t="n">
        <x:f>IF(ISNUMBER(H2),100*(H2-$H$2),"")</x:f>
        <x:v>0</x:v>
      </x:c>
      <x:c r="J2" s="14" t="n">
        <x:v>0.9737217937732077</x:v>
      </x:c>
      <x:c r="K2" s="16" t="n">
        <x:v>0.008014003161953784</x:v>
      </x:c>
      <x:c r="L2" s="16" t="n">
        <x:v>0.09933943087445099</x:v>
      </x:c>
      <x:c r="M2" s="14" t="n">
        <x:v>0.9618443428728182</x:v>
      </x:c>
      <x:c r="N2" s="14" t="n">
        <x:v>0.9303370786516855</x:v>
      </x:c>
      <x:c r="O2" s="14" t="n">
        <x:v>0.9238329238329237</x:v>
      </x:c>
      <x:c r="P2" s="13" t="n">
        <x:v>9</x:v>
      </x:c>
      <x:c r="Q2" s="17" t="n">
        <x:v>63.280117398900074</x:v>
      </x:c>
      <x:c r="R2" s="7" t="str">
        <x:v>Đủ kết quả</x:v>
      </x:c>
      <x:c r="S2" s="7" t="str">
        <x:v>finetune</x:v>
      </x:c>
      <x:c r="T2" s="7" t="str">
        <x:v>basic</x:v>
      </x:c>
      <x:c r="U2" s="7"/>
      <x:c r="V2" s="7" t="str">
        <x:v>ce</x:v>
      </x:c>
      <x:c r="W2" s="7" t="n">
        <x:v>0</x:v>
      </x:c>
      <x:c r="X2" s="7" t="n">
        <x:v>2</x:v>
      </x:c>
      <x:c r="Y2" s="7" t="str">
        <x:v>fb_in1k</x:v>
      </x:c>
      <x:c r="Z2" s="7" t="str">
        <x:v>Single seed; val only</x:v>
      </x:c>
      <x:c r="AA2" s="7" t="str">
        <x:v>runs/B03/seed0/config.json</x:v>
      </x:c>
      <x:c r="AB2" s="7" t="str">
        <x:v>curves/T00_convnext_tiny_seed0.png</x:v>
      </x:c>
    </x:row>
    <x:row r="3" ht="40" customHeight="1">
      <x:c r="A3" s="7" t="str">
        <x:v>T01</x:v>
      </x:c>
      <x:c r="B3" s="7" t="str">
        <x:v>convnext_tiny</x:v>
      </x:c>
      <x:c r="C3" s="7" t="n">
        <x:v>0</x:v>
      </x:c>
      <x:c r="D3" s="7" t="str">
        <x:v>A. Initialization</x:v>
      </x:c>
      <x:c r="E3" s="12" t="str">
        <x:v>Scratch</x:v>
      </x:c>
      <x:c r="F3" s="12" t="str">
        <x:v>T00 (=B03)</x:v>
      </x:c>
      <x:c r="G3" s="12" t="str">
        <x:v>init</x:v>
      </x:c>
      <x:c r="H3" s="14" t="n">
        <x:v>0.3360356501538258</x:v>
      </x:c>
      <x:c r="I3" s="15" t="n">
        <x:f>IF(ISNUMBER(H3),100*(H3-$H$2),"")</x:f>
        <x:v>-62.69925049344953</x:v>
      </x:c>
      <x:c r="J3" s="14" t="n">
        <x:v>0.5946872322193659</x:v>
      </x:c>
      <x:c r="K3" s="16" t="n">
        <x:v>0.02010781054841475</x:v>
      </x:c>
      <x:c r="L3" s="16" t="n">
        <x:v>1.2015892451522174</x:v>
      </x:c>
      <x:c r="M3" s="14" t="n">
        <x:v>0.3265582239202115</x:v>
      </x:c>
      <x:c r="N3" s="14" t="n">
        <x:v>0.29042904290429045</x:v>
      </x:c>
      <x:c r="O3" s="14" t="n">
        <x:v>0.2734375</x:v>
      </x:c>
      <x:c r="P3" s="13" t="n">
        <x:v>10</x:v>
      </x:c>
      <x:c r="Q3" s="17" t="n">
        <x:v>63.214513252</x:v>
      </x:c>
      <x:c r="R3" s="7" t="str">
        <x:v>Đủ kết quả</x:v>
      </x:c>
      <x:c r="S3" s="7" t="str">
        <x:v>scratch</x:v>
      </x:c>
      <x:c r="T3" s="7" t="str">
        <x:v>basic</x:v>
      </x:c>
      <x:c r="U3" s="7"/>
      <x:c r="V3" s="7" t="str">
        <x:v>ce</x:v>
      </x:c>
      <x:c r="W3" s="7" t="n">
        <x:v>0</x:v>
      </x:c>
      <x:c r="X3" s="7" t="n">
        <x:v>2</x:v>
      </x:c>
      <x:c r="Y3" s="7" t="str">
        <x:v>none (scratch)</x:v>
      </x:c>
      <x:c r="Z3" s="7" t="str">
        <x:v>Single seed; val only</x:v>
      </x:c>
      <x:c r="AA3" s="7" t="str">
        <x:v>runs/T01/seed0/config.json</x:v>
      </x:c>
      <x:c r="AB3" s="7" t="str">
        <x:v>curves/T01_convnext_tiny_seed0.png</x:v>
      </x:c>
    </x:row>
    <x:row r="4" ht="40" customHeight="1">
      <x:c r="A4" s="7" t="str">
        <x:v>T02</x:v>
      </x:c>
      <x:c r="B4" s="7" t="str">
        <x:v>convnext_tiny</x:v>
      </x:c>
      <x:c r="C4" s="7" t="n">
        <x:v>0</x:v>
      </x:c>
      <x:c r="D4" s="7" t="str">
        <x:v>A. Initialization</x:v>
      </x:c>
      <x:c r="E4" s="12" t="str">
        <x:v>Frozen backbone</x:v>
      </x:c>
      <x:c r="F4" s="12" t="str">
        <x:v>T00 (=B03)</x:v>
      </x:c>
      <x:c r="G4" s="12" t="str">
        <x:v>init</x:v>
      </x:c>
      <x:c r="H4" s="14" t="n">
        <x:v>0.7152977667284105</x:v>
      </x:c>
      <x:c r="I4" s="15" t="n">
        <x:f>IF(ISNUMBER(H4),100*(H4-$H$2),"")</x:f>
        <x:v>-24.773038835991066</x:v>
      </x:c>
      <x:c r="J4" s="14" t="n">
        <x:v>0.7832047986289632</x:v>
      </x:c>
      <x:c r="K4" s="16" t="n">
        <x:v>0.05398326332762074</x:v>
      </x:c>
      <x:c r="L4" s="16" t="n">
        <x:v>0.6245727255388566</x:v>
      </x:c>
      <x:c r="M4" s="14" t="n">
        <x:v>0.6707498699009701</x:v>
      </x:c>
      <x:c r="N4" s="14" t="n">
        <x:v>0.6501240694789082</x:v>
      </x:c>
      <x:c r="O4" s="14" t="n">
        <x:v>0.6065573770491802</x:v>
      </x:c>
      <x:c r="P4" s="13" t="n">
        <x:v>10</x:v>
      </x:c>
      <x:c r="Q4" s="17" t="n">
        <x:v>38.101909545000034</x:v>
      </x:c>
      <x:c r="R4" s="7" t="str">
        <x:v>Đủ kết quả</x:v>
      </x:c>
      <x:c r="S4" s="7" t="str">
        <x:v>frozen</x:v>
      </x:c>
      <x:c r="T4" s="7" t="str">
        <x:v>basic</x:v>
      </x:c>
      <x:c r="U4" s="7"/>
      <x:c r="V4" s="7" t="str">
        <x:v>ce</x:v>
      </x:c>
      <x:c r="W4" s="7" t="n">
        <x:v>0</x:v>
      </x:c>
      <x:c r="X4" s="7" t="n">
        <x:v>2</x:v>
      </x:c>
      <x:c r="Y4" s="7" t="str">
        <x:v>fb_in1k</x:v>
      </x:c>
      <x:c r="Z4" s="7" t="str">
        <x:v>Single seed; val only</x:v>
      </x:c>
      <x:c r="AA4" s="7" t="str">
        <x:v>runs/T02/seed0/config.json</x:v>
      </x:c>
      <x:c r="AB4" s="7" t="str">
        <x:v>curves/T02_convnext_tiny_seed0.png</x:v>
      </x:c>
    </x:row>
    <x:row r="5" ht="40" customHeight="1">
      <x:c r="A5" s="7" t="str">
        <x:v>T03</x:v>
      </x:c>
      <x:c r="B5" s="7" t="str">
        <x:v>convnext_tiny</x:v>
      </x:c>
      <x:c r="C5" s="7" t="n">
        <x:v>0</x:v>
      </x:c>
      <x:c r="D5" s="7" t="str">
        <x:v>B. Augmentation</x:v>
      </x:c>
      <x:c r="E5" s="12" t="str">
        <x:v>ColorJitter</x:v>
      </x:c>
      <x:c r="F5" s="12" t="str">
        <x:v>T00 (=B03)</x:v>
      </x:c>
      <x:c r="G5" s="12" t="str">
        <x:v>aug</x:v>
      </x:c>
      <x:c r="H5" s="14" t="n">
        <x:v>0.9556116440679866</x:v>
      </x:c>
      <x:c r="I5" s="15" t="n">
        <x:f>IF(ISNUMBER(H5),100*(H5-$H$2),"")</x:f>
        <x:v>-0.7416511020334582</x:v>
      </x:c>
      <x:c r="J5" s="14" t="n">
        <x:v>0.9671522422165095</x:v>
      </x:c>
      <x:c r="K5" s="16" t="n">
        <x:v>0.009281491665238471</x:v>
      </x:c>
      <x:c r="L5" s="16" t="n">
        <x:v>0.1127204862552555</x:v>
      </x:c>
      <x:c r="M5" s="14" t="n">
        <x:v>0.9496707591769614</x:v>
      </x:c>
      <x:c r="N5" s="14" t="n">
        <x:v>0.9044289044289044</x:v>
      </x:c>
      <x:c r="O5" s="14" t="n">
        <x:v>0.9144254278728607</x:v>
      </x:c>
      <x:c r="P5" s="13" t="n">
        <x:v>9</x:v>
      </x:c>
      <x:c r="Q5" s="17" t="n">
        <x:v>97.89939454580004</x:v>
      </x:c>
      <x:c r="R5" s="7" t="str">
        <x:v>Đủ kết quả</x:v>
      </x:c>
      <x:c r="S5" s="7" t="str">
        <x:v>finetune</x:v>
      </x:c>
      <x:c r="T5" s="7" t="str">
        <x:v>color</x:v>
      </x:c>
      <x:c r="U5" s="7"/>
      <x:c r="V5" s="7" t="str">
        <x:v>ce</x:v>
      </x:c>
      <x:c r="W5" s="7" t="n">
        <x:v>0</x:v>
      </x:c>
      <x:c r="X5" s="7" t="n">
        <x:v>2</x:v>
      </x:c>
      <x:c r="Y5" s="7" t="str">
        <x:v>fb_in1k</x:v>
      </x:c>
      <x:c r="Z5" s="7" t="str">
        <x:v>Single seed; val only</x:v>
      </x:c>
      <x:c r="AA5" s="7" t="str">
        <x:v>runs/T03/seed0/config.json</x:v>
      </x:c>
      <x:c r="AB5" s="7" t="str">
        <x:v>curves/T03_convnext_tiny_seed0.png</x:v>
      </x:c>
    </x:row>
    <x:row r="6" ht="40" customHeight="1">
      <x:c r="A6" s="7" t="str">
        <x:v>T04</x:v>
      </x:c>
      <x:c r="B6" s="7" t="str">
        <x:v>convnext_tiny</x:v>
      </x:c>
      <x:c r="C6" s="7" t="n">
        <x:v>0</x:v>
      </x:c>
      <x:c r="D6" s="7" t="str">
        <x:v>B. Augmentation</x:v>
      </x:c>
      <x:c r="E6" s="12" t="str">
        <x:v>CutMix alpha=1</x:v>
      </x:c>
      <x:c r="F6" s="12" t="str">
        <x:v>T00 (=B03)</x:v>
      </x:c>
      <x:c r="G6" s="12" t="str">
        <x:v>mix</x:v>
      </x:c>
      <x:c r="H6" s="14" t="n">
        <x:v>0.9630413373883078</x:v>
      </x:c>
      <x:c r="I6" s="15" t="n">
        <x:f>IF(ISNUMBER(H6),100*(H6-$H$2),"")</x:f>
        <x:v>0.0013182299986591595</x:v>
      </x:c>
      <x:c r="J6" s="14" t="n">
        <x:v>0.9720079977149386</x:v>
      </x:c>
      <x:c r="K6" s="16" t="n">
        <x:v>0.025046328791773743</x:v>
      </x:c>
      <x:c r="L6" s="16" t="n">
        <x:v>0.11440283292761783</x:v>
      </x:c>
      <x:c r="M6" s="14" t="n">
        <x:v>0.9647086945995341</x:v>
      </x:c>
      <x:c r="N6" s="14" t="n">
        <x:v>0.9265033407572383</x:v>
      </x:c>
      <x:c r="O6" s="14" t="n">
        <x:v>0.9166666666666666</x:v>
      </x:c>
      <x:c r="P6" s="13" t="n">
        <x:v>9</x:v>
      </x:c>
      <x:c r="Q6" s="17" t="n">
        <x:v>63.34682775949996</x:v>
      </x:c>
      <x:c r="R6" s="7" t="str">
        <x:v>Đủ kết quả</x:v>
      </x:c>
      <x:c r="S6" s="7" t="str">
        <x:v>finetune</x:v>
      </x:c>
      <x:c r="T6" s="7" t="str">
        <x:v>basic</x:v>
      </x:c>
      <x:c r="U6" s="7" t="str">
        <x:v>cutmix</x:v>
      </x:c>
      <x:c r="V6" s="7" t="str">
        <x:v>ce</x:v>
      </x:c>
      <x:c r="W6" s="7" t="n">
        <x:v>0</x:v>
      </x:c>
      <x:c r="X6" s="7" t="n">
        <x:v>2</x:v>
      </x:c>
      <x:c r="Y6" s="7" t="str">
        <x:v>fb_in1k</x:v>
      </x:c>
      <x:c r="Z6" s="7" t="str">
        <x:v>Single seed; val only</x:v>
      </x:c>
      <x:c r="AA6" s="7" t="str">
        <x:v>runs/T04/seed0/config.json</x:v>
      </x:c>
      <x:c r="AB6" s="7" t="str">
        <x:v>curves/T04_convnext_tiny_seed0.png</x:v>
      </x:c>
    </x:row>
    <x:row r="7" ht="40" customHeight="1">
      <x:c r="A7" s="26" t="str">
        <x:v>T05</x:v>
      </x:c>
      <x:c r="B7" s="26" t="str">
        <x:v>convnext_tiny</x:v>
      </x:c>
      <x:c r="C7" s="26" t="n">
        <x:v>0</x:v>
      </x:c>
      <x:c r="D7" s="26" t="str">
        <x:v>C. Loss</x:v>
      </x:c>
      <x:c r="E7" s="27" t="str">
        <x:v>Label smoothing epsilon=0.1</x:v>
      </x:c>
      <x:c r="F7" s="27" t="str">
        <x:v>T00 (=B03)</x:v>
      </x:c>
      <x:c r="G7" s="27" t="str">
        <x:v>loss, label_smoothing</x:v>
      </x:c>
      <x:c r="H7" s="33" t="n">
        <x:v>0.9641032435221208</x:v>
      </x:c>
      <x:c r="I7" s="34" t="n">
        <x:f>IF(ISNUMBER(H7),100*(H7-$H$2),"")</x:f>
        <x:v>0.10750884337996647</x:v>
      </x:c>
      <x:c r="J7" s="28" t="n">
        <x:v>0.9737217937732077</x:v>
      </x:c>
      <x:c r="K7" s="30" t="n">
        <x:v>0.09615286034275924</x:v>
      </x:c>
      <x:c r="L7" s="30" t="n">
        <x:v>0.18524871511108398</x:v>
      </x:c>
      <x:c r="M7" s="28" t="n">
        <x:v>0.9642149222944004</x:v>
      </x:c>
      <x:c r="N7" s="28" t="n">
        <x:v>0.9345372460496613</x:v>
      </x:c>
      <x:c r="O7" s="28" t="n">
        <x:v>0.916256157635468</x:v>
      </x:c>
      <x:c r="P7" s="31" t="n">
        <x:v>9</x:v>
      </x:c>
      <x:c r="Q7" s="32" t="n">
        <x:v>63.137791451700195</x:v>
      </x:c>
      <x:c r="R7" s="26" t="str">
        <x:v>Đủ kết quả</x:v>
      </x:c>
      <x:c r="S7" s="26" t="str">
        <x:v>finetune</x:v>
      </x:c>
      <x:c r="T7" s="26" t="str">
        <x:v>basic</x:v>
      </x:c>
      <x:c r="U7" s="26"/>
      <x:c r="V7" s="26" t="str">
        <x:v>ls</x:v>
      </x:c>
      <x:c r="W7" s="26" t="n">
        <x:v>0.1</x:v>
      </x:c>
      <x:c r="X7" s="26" t="n">
        <x:v>2</x:v>
      </x:c>
      <x:c r="Y7" s="26" t="str">
        <x:v>fb_in1k</x:v>
      </x:c>
      <x:c r="Z7" s="26" t="str">
        <x:v>Chọn theo F1 val; một seed</x:v>
      </x:c>
      <x:c r="AA7" s="26" t="str">
        <x:v>runs/T05/seed0/config.json</x:v>
      </x:c>
      <x:c r="AB7" s="26" t="str">
        <x:v>curves/T05_convnext_tiny_seed0.png</x:v>
      </x:c>
    </x:row>
    <x:row r="8" ht="40" customHeight="1">
      <x:c r="A8" s="7" t="str">
        <x:v>T06</x:v>
      </x:c>
      <x:c r="B8" s="7" t="str">
        <x:v>convnext_tiny</x:v>
      </x:c>
      <x:c r="C8" s="7" t="n">
        <x:v>0</x:v>
      </x:c>
      <x:c r="D8" s="7" t="str">
        <x:v>C. Loss</x:v>
      </x:c>
      <x:c r="E8" s="12" t="str">
        <x:v>Focal gamma=2</x:v>
      </x:c>
      <x:c r="F8" s="12" t="str">
        <x:v>T00 (=B03)</x:v>
      </x:c>
      <x:c r="G8" s="12" t="str">
        <x:v>loss</x:v>
      </x:c>
      <x:c r="H8" s="14" t="n">
        <x:v>0.9625494526602486</x:v>
      </x:c>
      <x:c r="I8" s="15" t="n">
        <x:f>IF(ISNUMBER(H8),100*(H8-$H$2),"")</x:f>
        <x:v>-0.04787024280725749</x:v>
      </x:c>
      <x:c r="J8" s="14" t="n">
        <x:v>0.9722936303913168</x:v>
      </x:c>
      <x:c r="K8" s="16" t="n">
        <x:v>0.06808692773778913</x:v>
      </x:c>
      <x:c r="L8" s="16" t="n">
        <x:v>0.14966169694318757</x:v>
      </x:c>
      <x:c r="M8" s="14" t="n">
        <x:v>0.9577564923468458</x:v>
      </x:c>
      <x:c r="N8" s="14" t="n">
        <x:v>0.9282511210762331</x:v>
      </x:c>
      <x:c r="O8" s="14" t="n">
        <x:v>0.9203980099502488</x:v>
      </x:c>
      <x:c r="P8" s="13" t="n">
        <x:v>10</x:v>
      </x:c>
      <x:c r="Q8" s="17" t="n">
        <x:v>62.848105876699904</x:v>
      </x:c>
      <x:c r="R8" s="7" t="str">
        <x:v>Đủ kết quả</x:v>
      </x:c>
      <x:c r="S8" s="7" t="str">
        <x:v>finetune</x:v>
      </x:c>
      <x:c r="T8" s="7" t="str">
        <x:v>basic</x:v>
      </x:c>
      <x:c r="U8" s="7"/>
      <x:c r="V8" s="7" t="str">
        <x:v>focal</x:v>
      </x:c>
      <x:c r="W8" s="7" t="n">
        <x:v>0</x:v>
      </x:c>
      <x:c r="X8" s="7" t="n">
        <x:v>2</x:v>
      </x:c>
      <x:c r="Y8" s="7" t="str">
        <x:v>fb_in1k</x:v>
      </x:c>
      <x:c r="Z8" s="7" t="str">
        <x:v>Single seed; val only</x:v>
      </x:c>
      <x:c r="AA8" s="7" t="str">
        <x:v>runs/T06/seed0/config.json</x:v>
      </x:c>
      <x:c r="AB8" s="7" t="str">
        <x:v>curves/T06_convnext_tiny_seed0.png</x:v>
      </x:c>
    </x:row>
    <x:row r="9" ht="40" customHeight="1">
      <x:c r="A9" s="7" t="str">
        <x:v>T07</x:v>
      </x:c>
      <x:c r="B9" s="7" t="str">
        <x:v>convnext_tiny</x:v>
      </x:c>
      <x:c r="C9" s="7" t="n">
        <x:v>0</x:v>
      </x:c>
      <x:c r="D9" s="7" t="str">
        <x:v>Combination</x:v>
      </x:c>
      <x:c r="E9" s="12" t="str">
        <x:v>T04 + T05</x:v>
      </x:c>
      <x:c r="F9" s="12" t="str">
        <x:v>T00 (=B03)</x:v>
      </x:c>
      <x:c r="G9" s="12" t="str">
        <x:v>mix, loss, label_smoothing</x:v>
      </x:c>
      <x:c r="H9" s="14" t="n">
        <x:v>0.9614640269639282</x:v>
      </x:c>
      <x:c r="I9" s="15" t="n">
        <x:f>IF(ISNUMBER(H9),100*(H9-$H$2),"")</x:f>
        <x:v>-0.1564128124392994</x:v>
      </x:c>
      <x:c r="J9" s="14" t="n">
        <x:v>0.971151099685804</x:v>
      </x:c>
      <x:c r="K9" s="16" t="n">
        <x:v>0.11208554365609819</x:v>
      </x:c>
      <x:c r="L9" s="16" t="n">
        <x:v>0.20268437317373167</x:v>
      </x:c>
      <x:c r="M9" s="14" t="n">
        <x:v>0.9627498071911484</x:v>
      </x:c>
      <x:c r="N9" s="14" t="n">
        <x:v>0.9261744966442953</x:v>
      </x:c>
      <x:c r="O9" s="14" t="n">
        <x:v>0.9170731707317072</x:v>
      </x:c>
      <x:c r="P9" s="13" t="n">
        <x:v>10</x:v>
      </x:c>
      <x:c r="Q9" s="17" t="n">
        <x:v>63.5690033373</x:v>
      </x:c>
      <x:c r="R9" s="7" t="str">
        <x:v>Đủ kết quả</x:v>
      </x:c>
      <x:c r="S9" s="7" t="str">
        <x:v>finetune</x:v>
      </x:c>
      <x:c r="T9" s="7" t="str">
        <x:v>basic</x:v>
      </x:c>
      <x:c r="U9" s="7" t="str">
        <x:v>cutmix</x:v>
      </x:c>
      <x:c r="V9" s="7" t="str">
        <x:v>ls</x:v>
      </x:c>
      <x:c r="W9" s="7" t="n">
        <x:v>0.1</x:v>
      </x:c>
      <x:c r="X9" s="7" t="n">
        <x:v>2</x:v>
      </x:c>
      <x:c r="Y9" s="7" t="str">
        <x:v>fb_in1k</x:v>
      </x:c>
      <x:c r="Z9" s="7" t="str">
        <x:v>Single seed; val only</x:v>
      </x:c>
      <x:c r="AA9" s="7" t="str">
        <x:v>runs/T07/seed0/config.json</x:v>
      </x:c>
      <x:c r="AB9" s="7" t="str">
        <x:v>curves/T07_convnext_tiny_seed0.png</x:v>
      </x:c>
    </x:row>
    <x:row r="12">
      <x:c r="A12" t="str">
        <x:v>T00 dùng lại B03; seed 0, 10 epoch, batch 32. Chỉ val.</x:v>
      </x:c>
    </x:row>
    <x:row r="13">
      <x:c r="A13" t="str">
        <x:v>Đủ T00–T07. Sáu ablation và một kết hợp; dòng tô màu là công thức chọn bằng macro-F1 val.</x:v>
      </x:c>
    </x:row>
    <x:row r="14">
      <x:c r="A14" t="str">
        <x:v>Δ tính theo điểm phần trăm. Chưa có std giữa seed; không suy ra ưu thế từ chênh lệch nhỏ.</x:v>
      </x:c>
    </x:row>
  </x:sheetData>
  <x:mergeCells>
    <x:mergeCell ref="A12:G12"/>
    <x:mergeCell ref="A13:G13"/>
    <x:mergeCell ref="A14:G14"/>
  </x:mergeCells>
  <x:conditionalFormatting sqref="R2:R9">
    <x:cfRule type="containsText" dxfId="0" priority="1" operator="containsText" text="Chưa chạy"/>
    <x:cfRule type="containsText" dxfId="1" priority="2" operator="containsText" text="Chưa chạy"/>
    <x:cfRule type="containsText" dxfId="2" priority="3" operator="containsText" text="Chưa chạy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8.130000114440918" hidden="0" customWidth="1"/>
    <x:col min="2" max="2" width="28.1299991607666" hidden="0" customWidth="1"/>
    <x:col min="3" max="3" width="41.880001068115234" hidden="0" customWidth="1"/>
    <x:col min="4" max="4" width="14.380000114440918" hidden="0" customWidth="1"/>
    <x:col min="5" max="5" width="14.380000114440918" hidden="0" customWidth="1"/>
    <x:col min="6" max="6" width="14.380000114440918" hidden="0" customWidth="1"/>
    <x:col min="7" max="7" width="14.380000114440918" hidden="0" customWidth="1"/>
    <x:col min="8" max="8" width="14.380000114440918" hidden="0" customWidth="1"/>
    <x:col min="9" max="9" width="14.380000114440918" hidden="0" customWidth="1"/>
    <x:col min="10" max="10" width="14.380000114440918" hidden="0" customWidth="1"/>
    <x:col min="11" max="11" width="14.380000114440918" hidden="0" customWidth="1"/>
    <x:col min="12" max="12" width="14.380000114440918" hidden="0" customWidth="1"/>
    <x:col min="13" max="13" width="14.380000114440918" hidden="0" customWidth="1"/>
    <x:col min="14" max="14" width="14.380000114440918" hidden="0" customWidth="1"/>
    <x:col min="15" max="15" width="14.380000114440918" hidden="0" customWidth="1"/>
    <x:col min="16" max="16" width="14.380000114440918" hidden="0" customWidth="1"/>
    <x:col min="17" max="17" width="14.380000114440918" hidden="0" customWidth="1"/>
    <x:col min="18" max="18" width="14.380000114440918" hidden="0" customWidth="1"/>
    <x:col min="19" max="19" width="14.380000114440918" hidden="0" customWidth="1"/>
    <x:col min="20" max="20" width="28.1299991607666" hidden="0" customWidth="1"/>
    <x:col min="21" max="21" width="41.880001068115234" hidden="0" customWidth="1"/>
  </x:cols>
  <x:sheetData>
    <x:row r="1" ht="45" customHeight="1">
      <x:c r="A1" s="38" t="str">
        <x:v>exp_id</x:v>
      </x:c>
      <x:c r="B1" s="38" t="str">
        <x:v>Phương pháp</x:v>
      </x:c>
      <x:c r="C1" s="38" t="str">
        <x:v>Checkpoint</x:v>
      </x:c>
      <x:c r="D1" s="38" t="str">
        <x:v>K</x:v>
      </x:c>
      <x:c r="E1" s="38" t="str">
        <x:v>Crop size</x:v>
      </x:c>
      <x:c r="F1" s="38" t="str">
        <x:v>Input size</x:v>
      </x:c>
      <x:c r="G1" s="38" t="str">
        <x:v>dtype</x:v>
      </x:c>
      <x:c r="H1" s="38" t="str">
        <x:v>Gộp view</x:v>
      </x:c>
      <x:c r="I1" s="38" t="str">
        <x:v>Temperature T</x:v>
      </x:c>
      <x:c r="J1" s="38" t="str">
        <x:v>Macro-F1 val</x:v>
      </x:c>
      <x:c r="K1" s="38" t="str">
        <x:v>Top-1 val</x:v>
      </x:c>
      <x:c r="L1" s="38" t="str">
        <x:v>ECE val</x:v>
      </x:c>
      <x:c r="M1" s="38" t="str">
        <x:v>NLL val</x:v>
      </x:c>
      <x:c r="N1" s="38" t="str">
        <x:v>p50 (ms)</x:v>
      </x:c>
      <x:c r="O1" s="38" t="str">
        <x:v>p95 (ms)</x:v>
      </x:c>
      <x:c r="P1" s="38" t="str">
        <x:v>p99 (ms)</x:v>
      </x:c>
      <x:c r="Q1" s="38" t="str">
        <x:v>Chi phí × I00</x:v>
      </x:c>
      <x:c r="R1" s="38" t="str">
        <x:v>Ảnh/s batch 32</x:v>
      </x:c>
      <x:c r="S1" s="38" t="str">
        <x:v>p95 ≤ 100 ms</x:v>
      </x:c>
      <x:c r="T1" s="38" t="str">
        <x:v>Trạng thái</x:v>
      </x:c>
      <x:c r="U1" s="38" t="str">
        <x:v>Dự đoán val</x:v>
      </x:c>
    </x:row>
    <x:row r="2" ht="36" customHeight="1">
      <x:c r="A2" s="7" t="str">
        <x:v>I00</x:v>
      </x:c>
      <x:c r="B2" s="12" t="str">
        <x:v>1 view FP32</x:v>
      </x:c>
      <x:c r="C2" s="7" t="str">
        <x:v>runs/T05/seed0/best.pt</x:v>
      </x:c>
      <x:c r="D2" s="7" t="n">
        <x:v>1</x:v>
      </x:c>
      <x:c r="E2" s="7" t="n">
        <x:v>224</x:v>
      </x:c>
      <x:c r="F2" s="7" t="n">
        <x:v>224</x:v>
      </x:c>
      <x:c r="G2" s="7" t="str">
        <x:v>fp32</x:v>
      </x:c>
      <x:c r="H2" s="7" t="str">
        <x:v>prob</x:v>
      </x:c>
      <x:c r="I2" s="39" t="n">
        <x:v>1</x:v>
      </x:c>
      <x:c r="J2" s="40" t="n">
        <x:v>0.9641032435221208</x:v>
      </x:c>
      <x:c r="K2" s="40" t="n">
        <x:v>0.9737217937732077</x:v>
      </x:c>
      <x:c r="L2" s="41" t="n">
        <x:v>0.09615286034275924</x:v>
      </x:c>
      <x:c r="M2" s="41" t="n">
        <x:v>0.18524871511108398</x:v>
      </x:c>
      <x:c r="N2" s="42"/>
      <x:c r="O2" s="42"/>
      <x:c r="P2" s="42"/>
      <x:c r="Q2" s="43" t="str">
        <x:f>IF(AND(ISNUMBER(N2),ISNUMBER($N$2),$N$2&gt;0),N2/$N$2,"")</x:f>
      </x:c>
      <x:c r="R2" s="44"/>
      <x:c r="S2" s="7" t="str">
        <x:f>IF(ISNUMBER(O2),IF(O2&lt;=100,"Đạt","Không đạt"),"Chờ đo")</x:f>
        <x:v>Chờ đo</x:v>
      </x:c>
      <x:c r="T2" s="12" t="str">
        <x:v>Chờ latency T4</x:v>
      </x:c>
      <x:c r="U2" s="7" t="str">
        <x:v>predictions/I00_seed0_val.csv</x:v>
      </x:c>
    </x:row>
    <x:row r="3" ht="36" customHeight="1">
      <x:c r="A3" s="7" t="str">
        <x:v>I01</x:v>
      </x:c>
      <x:c r="B3" s="12" t="str">
        <x:v>Hflip TTA / probability</x:v>
      </x:c>
      <x:c r="C3" s="7" t="str">
        <x:v>runs/T05/seed0/best.pt</x:v>
      </x:c>
      <x:c r="D3" s="7" t="n">
        <x:v>2</x:v>
      </x:c>
      <x:c r="E3" s="7" t="n">
        <x:v>224</x:v>
      </x:c>
      <x:c r="F3" s="7" t="n">
        <x:v>224</x:v>
      </x:c>
      <x:c r="G3" s="7" t="str">
        <x:v>fp32</x:v>
      </x:c>
      <x:c r="H3" s="7" t="str">
        <x:v>prob</x:v>
      </x:c>
      <x:c r="I3" s="39" t="n">
        <x:v>1</x:v>
      </x:c>
      <x:c r="J3" s="40"/>
      <x:c r="K3" s="40"/>
      <x:c r="L3" s="41"/>
      <x:c r="M3" s="41"/>
      <x:c r="N3" s="42"/>
      <x:c r="O3" s="42"/>
      <x:c r="P3" s="42"/>
      <x:c r="Q3" s="43" t="str">
        <x:f>IF(AND(ISNUMBER(N3),ISNUMBER($N$2),$N$2&gt;0),N3/$N$2,"")</x:f>
      </x:c>
      <x:c r="R3" s="44"/>
      <x:c r="S3" s="7" t="str">
        <x:f>IF(ISNUMBER(O3),IF(O3&lt;=100,"Đạt","Không đạt"),"Chờ đo")</x:f>
        <x:v>Chờ đo</x:v>
      </x:c>
      <x:c r="T3" s="12" t="str">
        <x:v>Chưa chạy</x:v>
      </x:c>
      <x:c r="U3" s="7" t="str">
        <x:v>predictions/I01_seed0_val.csv</x:v>
      </x:c>
    </x:row>
    <x:row r="4" ht="36" customHeight="1">
      <x:c r="A4" s="7" t="str">
        <x:v>I02</x:v>
      </x:c>
      <x:c r="B4" s="12" t="str">
        <x:v>5 crops / probability</x:v>
      </x:c>
      <x:c r="C4" s="7" t="str">
        <x:v>runs/T05/seed0/best.pt</x:v>
      </x:c>
      <x:c r="D4" s="7" t="n">
        <x:v>5</x:v>
      </x:c>
      <x:c r="E4" s="7" t="n">
        <x:v>224</x:v>
      </x:c>
      <x:c r="F4" s="7" t="n">
        <x:v>256</x:v>
      </x:c>
      <x:c r="G4" s="7" t="str">
        <x:v>fp32</x:v>
      </x:c>
      <x:c r="H4" s="7" t="str">
        <x:v>prob</x:v>
      </x:c>
      <x:c r="I4" s="39" t="n">
        <x:v>1</x:v>
      </x:c>
      <x:c r="J4" s="40"/>
      <x:c r="K4" s="40"/>
      <x:c r="L4" s="41"/>
      <x:c r="M4" s="41"/>
      <x:c r="N4" s="42"/>
      <x:c r="O4" s="42"/>
      <x:c r="P4" s="42"/>
      <x:c r="Q4" s="43" t="str">
        <x:f>IF(AND(ISNUMBER(N4),ISNUMBER($N$2),$N$2&gt;0),N4/$N$2,"")</x:f>
      </x:c>
      <x:c r="R4" s="44"/>
      <x:c r="S4" s="7" t="str">
        <x:f>IF(ISNUMBER(O4),IF(O4&lt;=100,"Đạt","Không đạt"),"Chờ đo")</x:f>
        <x:v>Chờ đo</x:v>
      </x:c>
      <x:c r="T4" s="12" t="str">
        <x:v>Chưa chạy</x:v>
      </x:c>
      <x:c r="U4" s="7" t="str">
        <x:v>predictions/I02_seed0_val.csv</x:v>
      </x:c>
    </x:row>
    <x:row r="5" ht="36" customHeight="1">
      <x:c r="A5" s="7" t="str">
        <x:v>I03</x:v>
      </x:c>
      <x:c r="B5" s="12" t="str">
        <x:v>Hflip TTA / logits</x:v>
      </x:c>
      <x:c r="C5" s="7" t="str">
        <x:v>runs/T05/seed0/best.pt</x:v>
      </x:c>
      <x:c r="D5" s="7" t="n">
        <x:v>2</x:v>
      </x:c>
      <x:c r="E5" s="7" t="n">
        <x:v>224</x:v>
      </x:c>
      <x:c r="F5" s="7" t="n">
        <x:v>224</x:v>
      </x:c>
      <x:c r="G5" s="7" t="str">
        <x:v>fp32</x:v>
      </x:c>
      <x:c r="H5" s="7" t="str">
        <x:v>logit</x:v>
      </x:c>
      <x:c r="I5" s="39" t="n">
        <x:v>1</x:v>
      </x:c>
      <x:c r="J5" s="40"/>
      <x:c r="K5" s="40"/>
      <x:c r="L5" s="41"/>
      <x:c r="M5" s="41"/>
      <x:c r="N5" s="42"/>
      <x:c r="O5" s="42"/>
      <x:c r="P5" s="42"/>
      <x:c r="Q5" s="43" t="str">
        <x:f>IF(AND(ISNUMBER(N5),ISNUMBER($N$2),$N$2&gt;0),N5/$N$2,"")</x:f>
      </x:c>
      <x:c r="R5" s="44"/>
      <x:c r="S5" s="7" t="str">
        <x:f>IF(ISNUMBER(O5),IF(O5&lt;=100,"Đạt","Không đạt"),"Chờ đo")</x:f>
        <x:v>Chờ đo</x:v>
      </x:c>
      <x:c r="T5" s="12" t="str">
        <x:v>Chưa chạy</x:v>
      </x:c>
      <x:c r="U5" s="7" t="str">
        <x:v>predictions/I03_seed0_val.csv</x:v>
      </x:c>
    </x:row>
    <x:row r="6" ht="36" customHeight="1">
      <x:c r="A6" s="7" t="str">
        <x:v>I04</x:v>
      </x:c>
      <x:c r="B6" s="12" t="str">
        <x:v>Resolution 256</x:v>
      </x:c>
      <x:c r="C6" s="7" t="str">
        <x:v>runs/T05/seed0/best.pt</x:v>
      </x:c>
      <x:c r="D6" s="7" t="n">
        <x:v>1</x:v>
      </x:c>
      <x:c r="E6" s="7" t="n">
        <x:v>256</x:v>
      </x:c>
      <x:c r="F6" s="7" t="n">
        <x:v>256</x:v>
      </x:c>
      <x:c r="G6" s="7" t="str">
        <x:v>fp32</x:v>
      </x:c>
      <x:c r="H6" s="7" t="str">
        <x:v>prob</x:v>
      </x:c>
      <x:c r="I6" s="39" t="n">
        <x:v>1</x:v>
      </x:c>
      <x:c r="J6" s="40"/>
      <x:c r="K6" s="40"/>
      <x:c r="L6" s="41"/>
      <x:c r="M6" s="41"/>
      <x:c r="N6" s="42"/>
      <x:c r="O6" s="42"/>
      <x:c r="P6" s="42"/>
      <x:c r="Q6" s="43" t="str">
        <x:f>IF(AND(ISNUMBER(N6),ISNUMBER($N$2),$N$2&gt;0),N6/$N$2,"")</x:f>
      </x:c>
      <x:c r="R6" s="44"/>
      <x:c r="S6" s="7" t="str">
        <x:f>IF(ISNUMBER(O6),IF(O6&lt;=100,"Đạt","Không đạt"),"Chờ đo")</x:f>
        <x:v>Chờ đo</x:v>
      </x:c>
      <x:c r="T6" s="12" t="str">
        <x:v>Chưa chạy</x:v>
      </x:c>
      <x:c r="U6" s="7" t="str">
        <x:v>predictions/I04_seed0_val.csv</x:v>
      </x:c>
    </x:row>
    <x:row r="7" ht="36" customHeight="1">
      <x:c r="A7" s="7" t="str">
        <x:v>I09</x:v>
      </x:c>
      <x:c r="B7" s="12" t="str">
        <x:v>Resolution 288</x:v>
      </x:c>
      <x:c r="C7" s="7" t="str">
        <x:v>runs/T05/seed0/best.pt</x:v>
      </x:c>
      <x:c r="D7" s="7" t="n">
        <x:v>1</x:v>
      </x:c>
      <x:c r="E7" s="7" t="n">
        <x:v>288</x:v>
      </x:c>
      <x:c r="F7" s="7" t="n">
        <x:v>288</x:v>
      </x:c>
      <x:c r="G7" s="7" t="str">
        <x:v>fp32</x:v>
      </x:c>
      <x:c r="H7" s="7" t="str">
        <x:v>prob</x:v>
      </x:c>
      <x:c r="I7" s="39" t="n">
        <x:v>1</x:v>
      </x:c>
      <x:c r="J7" s="40"/>
      <x:c r="K7" s="40"/>
      <x:c r="L7" s="41"/>
      <x:c r="M7" s="41"/>
      <x:c r="N7" s="42"/>
      <x:c r="O7" s="42"/>
      <x:c r="P7" s="42"/>
      <x:c r="Q7" s="43" t="str">
        <x:f>IF(AND(ISNUMBER(N7),ISNUMBER($N$2),$N$2&gt;0),N7/$N$2,"")</x:f>
      </x:c>
      <x:c r="R7" s="44"/>
      <x:c r="S7" s="7" t="str">
        <x:f>IF(ISNUMBER(O7),IF(O7&lt;=100,"Đạt","Không đạt"),"Chờ đo")</x:f>
        <x:v>Chờ đo</x:v>
      </x:c>
      <x:c r="T7" s="12" t="str">
        <x:v>Chưa chạy</x:v>
      </x:c>
      <x:c r="U7" s="7" t="str">
        <x:v>predictions/I09_seed0_val.csv</x:v>
      </x:c>
    </x:row>
    <x:row r="8" ht="36" customHeight="1">
      <x:c r="A8" s="7" t="str">
        <x:v>I10</x:v>
      </x:c>
      <x:c r="B8" s="12" t="str">
        <x:v>Resolution 320</x:v>
      </x:c>
      <x:c r="C8" s="7" t="str">
        <x:v>runs/T05/seed0/best.pt</x:v>
      </x:c>
      <x:c r="D8" s="7" t="n">
        <x:v>1</x:v>
      </x:c>
      <x:c r="E8" s="7" t="n">
        <x:v>320</x:v>
      </x:c>
      <x:c r="F8" s="7" t="n">
        <x:v>320</x:v>
      </x:c>
      <x:c r="G8" s="7" t="str">
        <x:v>fp32</x:v>
      </x:c>
      <x:c r="H8" s="7" t="str">
        <x:v>prob</x:v>
      </x:c>
      <x:c r="I8" s="39" t="n">
        <x:v>1</x:v>
      </x:c>
      <x:c r="J8" s="40"/>
      <x:c r="K8" s="40"/>
      <x:c r="L8" s="41"/>
      <x:c r="M8" s="41"/>
      <x:c r="N8" s="42"/>
      <x:c r="O8" s="42"/>
      <x:c r="P8" s="42"/>
      <x:c r="Q8" s="43" t="str">
        <x:f>IF(AND(ISNUMBER(N8),ISNUMBER($N$2),$N$2&gt;0),N8/$N$2,"")</x:f>
      </x:c>
      <x:c r="R8" s="44"/>
      <x:c r="S8" s="7" t="str">
        <x:f>IF(ISNUMBER(O8),IF(O8&lt;=100,"Đạt","Không đạt"),"Chờ đo")</x:f>
        <x:v>Chờ đo</x:v>
      </x:c>
      <x:c r="T8" s="12" t="str">
        <x:v>Chưa chạy</x:v>
      </x:c>
      <x:c r="U8" s="7" t="str">
        <x:v>predictions/I10_seed0_val.csv</x:v>
      </x:c>
    </x:row>
    <x:row r="9" ht="36" customHeight="1">
      <x:c r="A9" s="7" t="str">
        <x:v>I07</x:v>
      </x:c>
      <x:c r="B9" s="12" t="str">
        <x:v>1 view + temperature</x:v>
      </x:c>
      <x:c r="C9" s="7" t="str">
        <x:v>runs/T05/seed0/best.pt</x:v>
      </x:c>
      <x:c r="D9" s="7" t="n">
        <x:v>1</x:v>
      </x:c>
      <x:c r="E9" s="7" t="n">
        <x:v>224</x:v>
      </x:c>
      <x:c r="F9" s="7" t="n">
        <x:v>224</x:v>
      </x:c>
      <x:c r="G9" s="7" t="str">
        <x:v>fp32</x:v>
      </x:c>
      <x:c r="H9" s="7" t="str">
        <x:v>prob</x:v>
      </x:c>
      <x:c r="I9" s="39" t="n">
        <x:v>0.6106658951607421</x:v>
      </x:c>
      <x:c r="J9" s="40" t="n">
        <x:v>0.9641032435221208</x:v>
      </x:c>
      <x:c r="K9" s="40" t="n">
        <x:v>0.9737217937732077</x:v>
      </x:c>
      <x:c r="L9" s="41" t="n">
        <x:v>0.004736394133104849</x:v>
      </x:c>
      <x:c r="M9" s="41" t="n">
        <x:v>0.1060759472757501</x:v>
      </x:c>
      <x:c r="N9" s="42"/>
      <x:c r="O9" s="42"/>
      <x:c r="P9" s="42"/>
      <x:c r="Q9" s="43" t="str">
        <x:f>IF(AND(ISNUMBER(N9),ISNUMBER($N$2),$N$2&gt;0),N9/$N$2,"")</x:f>
      </x:c>
      <x:c r="R9" s="44"/>
      <x:c r="S9" s="7" t="str">
        <x:f>IF(ISNUMBER(O9),IF(O9&lt;=100,"Đạt","Không đạt"),"Chờ đo")</x:f>
        <x:v>Chờ đo</x:v>
      </x:c>
      <x:c r="T9" s="12" t="str">
        <x:v>Chờ latency T4</x:v>
      </x:c>
      <x:c r="U9" s="7" t="str">
        <x:v>predictions/I07_seed0_val.csv</x:v>
      </x:c>
    </x:row>
    <x:row r="10" ht="36" customHeight="1">
      <x:c r="A10" s="7" t="str">
        <x:v>I08</x:v>
      </x:c>
      <x:c r="B10" s="12" t="str">
        <x:v>1 view AMP FP16</x:v>
      </x:c>
      <x:c r="C10" s="7" t="str">
        <x:v>runs/T05/seed0/best.pt</x:v>
      </x:c>
      <x:c r="D10" s="7" t="n">
        <x:v>1</x:v>
      </x:c>
      <x:c r="E10" s="7" t="n">
        <x:v>224</x:v>
      </x:c>
      <x:c r="F10" s="7" t="n">
        <x:v>224</x:v>
      </x:c>
      <x:c r="G10" s="7" t="str">
        <x:v>amp</x:v>
      </x:c>
      <x:c r="H10" s="7" t="str">
        <x:v>prob</x:v>
      </x:c>
      <x:c r="I10" s="39" t="n">
        <x:v>1</x:v>
      </x:c>
      <x:c r="J10" s="40"/>
      <x:c r="K10" s="40"/>
      <x:c r="L10" s="41"/>
      <x:c r="M10" s="41"/>
      <x:c r="N10" s="42"/>
      <x:c r="O10" s="42"/>
      <x:c r="P10" s="42"/>
      <x:c r="Q10" s="43" t="str">
        <x:f>IF(AND(ISNUMBER(N10),ISNUMBER($N$2),$N$2&gt;0),N10/$N$2,"")</x:f>
      </x:c>
      <x:c r="R10" s="44"/>
      <x:c r="S10" s="7" t="str">
        <x:f>IF(ISNUMBER(O10),IF(O10&lt;=100,"Đạt","Không đạt"),"Chờ đo")</x:f>
        <x:v>Chờ đo</x:v>
      </x:c>
      <x:c r="T10" s="12" t="str">
        <x:v>Chưa chạy</x:v>
      </x:c>
      <x:c r="U10" s="7" t="str">
        <x:v>predictions/I08_seed0_val.csv</x:v>
      </x:c>
    </x:row>
    <x:row r="13">
      <x:c r="A13" t="str">
        <x:v>T05, seed 0; chỉ val. Chọn sau khi đủ dự đoán và latency thật trên T4.</x:v>
      </x:c>
    </x:row>
    <x:row r="14">
      <x:c r="A14" t="str">
        <x:v>10 warmup + 100 lần đo; synchronize trước/sau. Input sẵn trên GPU; gồm TTA/model/softmax/T.</x:v>
      </x:c>
    </x:row>
    <x:row r="15">
      <x:c r="A15" t="str">
        <x:v>Không gồm decode/PIL/H2D/D2H. p95≤100 ms là ngưỡng pipeline GPU; chưa phải toàn bộ camera/robot.</x:v>
      </x:c>
    </x:row>
  </x:sheetData>
  <x:mergeCells>
    <x:mergeCell ref="A13:G13"/>
    <x:mergeCell ref="A14:G14"/>
    <x:mergeCell ref="A15:G1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8.130000114440918" hidden="0" customWidth="1"/>
    <x:col min="2" max="2" width="28.1299991607666" hidden="0" customWidth="1"/>
    <x:col min="3" max="3" width="14.380000114440918" hidden="0" customWidth="1"/>
    <x:col min="4" max="4" width="14.380000114440918" hidden="0" customWidth="1"/>
    <x:col min="5" max="5" width="14.380000114440918" hidden="0" customWidth="1"/>
    <x:col min="6" max="6" width="14.380000114440918" hidden="0" customWidth="1"/>
    <x:col min="7" max="7" width="14.380000114440918" hidden="0" customWidth="1"/>
    <x:col min="8" max="8" width="14.380000114440918" hidden="0" customWidth="1"/>
    <x:col min="9" max="9" width="14.380000114440918" hidden="0" customWidth="1"/>
    <x:col min="10" max="10" width="14.380000114440918" hidden="0" customWidth="1"/>
    <x:col min="11" max="11" width="14.380000114440918" hidden="0" customWidth="1"/>
    <x:col min="12" max="12" width="14.380000114440918" hidden="0" customWidth="1"/>
    <x:col min="13" max="13" width="14.380000114440918" hidden="0" customWidth="1"/>
    <x:col min="14" max="14" width="14.380000114440918" hidden="0" customWidth="1"/>
    <x:col min="15" max="15" width="14.380000114440918" hidden="0" customWidth="1"/>
    <x:col min="16" max="16" width="14.380000114440918" hidden="0" customWidth="1"/>
    <x:col min="17" max="17" width="14.380000114440918" hidden="0" customWidth="1"/>
    <x:col min="18" max="18" width="14.380000114440918" hidden="0" customWidth="1"/>
    <x:col min="19" max="19" width="14.380000114440918" hidden="0" customWidth="1"/>
    <x:col min="20" max="20" width="56.25" hidden="0" customWidth="1"/>
    <x:col min="21" max="21" width="41.880001068115234" hidden="0" customWidth="1"/>
  </x:cols>
  <x:sheetData>
    <x:row r="1" ht="45" customHeight="1">
      <x:c r="A1" s="38" t="str">
        <x:v>exp_id</x:v>
      </x:c>
      <x:c r="B1" s="38" t="str">
        <x:v>Phương pháp</x:v>
      </x:c>
      <x:c r="C1" s="38" t="str">
        <x:v>gpu</x:v>
      </x:c>
      <x:c r="D1" s="38" t="str">
        <x:v>dtype</x:v>
      </x:c>
      <x:c r="E1" s="38" t="str">
        <x:v>batch</x:v>
      </x:c>
      <x:c r="F1" s="38" t="str">
        <x:v>Crop size</x:v>
      </x:c>
      <x:c r="G1" s="38" t="str">
        <x:v>Input size</x:v>
      </x:c>
      <x:c r="H1" s="38" t="str">
        <x:v>K</x:v>
      </x:c>
      <x:c r="I1" s="38" t="str">
        <x:v>fused_bn</x:v>
      </x:c>
      <x:c r="J1" s="38" t="str">
        <x:v>p50 (ms)</x:v>
      </x:c>
      <x:c r="K1" s="38" t="str">
        <x:v>p95 (ms)</x:v>
      </x:c>
      <x:c r="L1" s="38" t="str">
        <x:v>p99 (ms)</x:v>
      </x:c>
      <x:c r="M1" s="38" t="str">
        <x:v>Mean (ms)</x:v>
      </x:c>
      <x:c r="N1" s="38" t="str">
        <x:v>Ảnh/s</x:v>
      </x:c>
      <x:c r="O1" s="38" t="str">
        <x:v>warmup</x:v>
      </x:c>
      <x:c r="P1" s="38" t="str">
        <x:v>Lần đo</x:v>
      </x:c>
      <x:c r="Q1" s="38" t="str">
        <x:v>torch</x:v>
      </x:c>
      <x:c r="R1" s="38" t="str">
        <x:v>Gồm tiền xử lý</x:v>
      </x:c>
      <x:c r="S1" s="38" t="str">
        <x:v>Gồm transfer</x:v>
      </x:c>
      <x:c r="T1" s="38" t="str">
        <x:v>Phạm vi đo</x:v>
      </x:c>
      <x:c r="U1" s="38" t="str">
        <x:v>Nguồn số đo</x:v>
      </x:c>
    </x:row>
    <x:row r="2" ht="36" customHeight="1">
      <x:c r="A2" s="7"/>
      <x:c r="B2" s="12"/>
      <x:c r="C2" s="7"/>
      <x:c r="D2" s="7"/>
      <x:c r="E2" s="7"/>
      <x:c r="F2" s="7"/>
      <x:c r="G2" s="7"/>
      <x:c r="H2" s="7"/>
      <x:c r="I2" s="7"/>
      <x:c r="J2" s="42"/>
      <x:c r="K2" s="42"/>
      <x:c r="L2" s="42"/>
      <x:c r="M2" s="42"/>
      <x:c r="N2" s="44"/>
      <x:c r="O2" s="7"/>
      <x:c r="P2" s="7"/>
      <x:c r="Q2" s="7"/>
      <x:c r="R2" s="7"/>
      <x:c r="S2" s="7"/>
      <x:c r="T2" s="12"/>
      <x:c r="U2" s="7"/>
    </x:row>
    <x:row r="5">
      <x:c r="A5" t="str">
        <x:v>Chưa có số đo T4. Không thay bằng latency sơ bộ Bước 1 hoặc GPU máy cá nhân.</x:v>
      </x:c>
    </x:row>
    <x:row r="6">
      <x:c r="A6" t="str">
        <x:v>10 warmup + 100 lần đo; synchronize trước/sau. Input sẵn trên GPU; gồm TTA/model/softmax/T.</x:v>
      </x:c>
    </x:row>
    <x:row r="7">
      <x:c r="A7" t="str">
        <x:v>Không gồm decode/PIL/H2D/D2H. p95≤100 ms là ngưỡng pipeline GPU; chưa phải toàn bộ camera/robot.</x:v>
      </x:c>
    </x:row>
  </x:sheetData>
  <x:mergeCells>
    <x:mergeCell ref="A5:G5"/>
    <x:mergeCell ref="A6:G6"/>
    <x:mergeCell ref="A7:G7"/>
  </x:mergeCells>
  <x:pageMargins left="0.7" right="0.7" top="0.75" bottom="0.75" header="0.3" footer="0.3"/>
</x:worksheet>
</file>