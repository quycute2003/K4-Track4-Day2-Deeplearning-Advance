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458cb4016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bones" sheetId="1" r:id="R53d35f168295427e"/>
    <x:sheet xmlns:r="http://schemas.openxmlformats.org/officeDocument/2006/relationships" name="Training" sheetId="2" r:id="Ra9d2e6141fd643eb"/>
    <x:sheet xmlns:r="http://schemas.openxmlformats.org/officeDocument/2006/relationships" name="Inference" sheetId="3" r:id="R5c97a44c9374414f"/>
    <x:sheet xmlns:r="http://schemas.openxmlformats.org/officeDocument/2006/relationships" name="Latency" sheetId="4" r:id="Rb3fe4bd9c7894eed"/>
    <x:sheet xmlns:r="http://schemas.openxmlformats.org/officeDocument/2006/relationships" name="Summary" sheetId="5" r:id="R5e78d8ee7b494b23"/>
    <x:sheet xmlns:r="http://schemas.openxmlformats.org/officeDocument/2006/relationships" name="Final" sheetId="6" r:id="R0a8ccc05fdcd4087"/>
    <x:sheet xmlns:r="http://schemas.openxmlformats.org/officeDocument/2006/relationships" name="PerClass" sheetId="7" r:id="R6505d689bf0e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0.000"/>
    <x:numFmt numFmtId="200" formatCode="0.00%"/>
    <x:numFmt numFmtId="201" formatCode="+0.000;-0.000;0.000"/>
    <x:numFmt numFmtId="202" formatCode="0.0000"/>
    <x:numFmt numFmtId="203" formatCode="0.00"/>
    <x:numFmt numFmtId="204" formatCode="0.000000"/>
    <x:numFmt numFmtId="205" formatCode="0.00000"/>
    <x:numFmt numFmtId="206" formatCode="0.00&quot;×&quot;"/>
    <x:numFmt numFmtId="207" formatCode="0.0"/>
  </x:numFmts>
  <x:fonts count="5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sz val="10"/>
      <x:color rgb="FF243B53"/>
      <x:name val="Arial"/>
    </x:font>
    <x:font>
      <x:b/>
      <x:sz val="10"/>
      <x:color rgb="FF243B5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243B53"/>
      </x:patternFill>
    </x:fill>
    <x:fill>
      <x:patternFill patternType="solid">
        <x:fgColor rgb="FF243B53"/>
      </x:patternFill>
    </x:fill>
    <x:fill>
      <x:patternFill patternType="solid">
        <x:fgColor rgb="FF243B53"/>
      </x:patternFill>
    </x:fill>
    <x:fill>
      <x:patternFill patternType="solid">
        <x:fgColor rgb="FFE4F0E9"/>
      </x:patternFill>
    </x:fill>
    <x:fill>
      <x:patternFill patternType="solid">
        <x:fgColor rgb="FF243B53"/>
      </x:patternFill>
    </x:fill>
    <x:fill>
      <x:patternFill patternType="solid">
        <x:fgColor rgb="FF243B53"/>
      </x:patternFill>
    </x:fill>
    <x:fill>
      <x:patternFill patternType="solid">
        <x:fgColor rgb="FFE4F0E9"/>
      </x:patternFill>
    </x:fill>
  </x:fills>
  <x:borders count="1">
    <x:border/>
  </x:borders>
  <x:cellStyleXfs count="1">
    <x:xf numFmtId="0" fontId="0" fillId="0" borderId="0"/>
  </x:cellStyleXfs>
  <x:cellXfs count="57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  <x:xf numFmtId="10" fontId="2" fillId="0" borderId="0" xfId="0" applyAlignment="1">
      <x:alignment vertical="center"/>
    </x:xf>
    <x:xf numFmtId="2" fontId="2" fillId="0" borderId="0" xfId="0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3" fontId="3" fillId="0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200" fontId="3" fillId="6" borderId="0" xfId="0" applyNumberFormat="1" applyFont="1" applyFill="1" applyBorder="1" applyAlignment="1">
      <x:alignment horizontal="right" vertical="center"/>
    </x:xf>
    <x:xf numFmtId="201" fontId="3" fillId="6" borderId="0" xfId="0" applyNumberFormat="1" applyFont="1" applyFill="1" applyBorder="1" applyAlignment="1">
      <x:alignment horizontal="right" vertical="center"/>
    </x:xf>
    <x:xf numFmtId="202" fontId="3" fillId="6" borderId="0" xfId="0" applyNumberFormat="1" applyFont="1" applyFill="1" applyBorder="1" applyAlignment="1">
      <x:alignment horizontal="right" vertical="center"/>
    </x:xf>
    <x:xf numFmtId="0" fontId="3" fillId="6" borderId="0" xfId="0" applyNumberFormat="1" applyFont="1" applyFill="1" applyBorder="1" applyAlignment="1">
      <x:alignment horizontal="right" vertical="center"/>
    </x:xf>
    <x:xf numFmtId="203" fontId="3" fillId="6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1" fontId="4" fillId="6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4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164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 wrapText="1"/>
    </x:xf>
    <x:xf numFmtId="200" fontId="3" fillId="9" borderId="0" xfId="0" applyNumberFormat="1" applyFont="1" applyFill="1" applyBorder="1" applyAlignment="1">
      <x:alignment vertical="center"/>
    </x:xf>
    <x:xf numFmtId="205" fontId="3" fillId="9" borderId="0" xfId="0" applyNumberFormat="1" applyFont="1" applyFill="1" applyBorder="1" applyAlignment="1">
      <x:alignment vertical="center"/>
    </x:xf>
    <x:xf numFmtId="164" fontId="3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805B10"/>
      </x:font>
      <x:fill>
        <x:patternFill>
          <x:bgColor rgb="FFFFF3CD"/>
        </x:patternFill>
      </x:fill>
    </x:dxf>
    <x:dxf>
      <x:font>
        <x:color rgb="FF805B10"/>
      </x:font>
      <x:fill>
        <x:patternFill>
          <x:bgColor rgb="FFFFF3CD"/>
        </x:patternFill>
      </x:fill>
    </x:dxf>
    <x:dxf>
      <x:font>
        <x:color rgb="FF805B10"/>
      </x:font>
      <x:fill>
        <x:patternFill>
          <x:bgColor rgb="FFFFF3C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4966efa2c4b95" /><Relationship Type="http://schemas.openxmlformats.org/officeDocument/2006/relationships/theme" Target="/xl/theme/theme1.xml" Id="R3f0e91cef62b4127" /><Relationship Type="http://schemas.microsoft.com/office/2022/11/relationships/FeaturePropertyBag" Target="/xl/featurePropertyBag/featurePropertyBag.xml" Id="R76c410de5e8d48a0" /><Relationship Type="http://schemas.openxmlformats.org/officeDocument/2006/relationships/sharedStrings" Target="/xl/sharedStrings.xml" Id="Rdc6f21a55b5e4d69" /><Relationship Type="http://schemas.openxmlformats.org/officeDocument/2006/relationships/worksheet" Target="/xl/worksheets/sheet1.xml" Id="R53d35f168295427e" /><Relationship Type="http://schemas.openxmlformats.org/officeDocument/2006/relationships/worksheet" Target="/xl/worksheets/sheet2.xml" Id="Ra9d2e6141fd643eb" /><Relationship Type="http://schemas.openxmlformats.org/officeDocument/2006/relationships/worksheet" Target="/xl/worksheets/sheet3.xml" Id="R5c97a44c9374414f" /><Relationship Type="http://schemas.openxmlformats.org/officeDocument/2006/relationships/worksheet" Target="/xl/worksheets/sheet4.xml" Id="Rb3fe4bd9c7894eed" /><Relationship Type="http://schemas.openxmlformats.org/officeDocument/2006/relationships/worksheet" Target="/xl/worksheets/sheet5.xml" Id="R5e78d8ee7b494b23" /><Relationship Type="http://schemas.openxmlformats.org/officeDocument/2006/relationships/worksheet" Target="/xl/worksheets/sheet6.xml" Id="R0a8ccc05fdcd4087" /><Relationship Type="http://schemas.openxmlformats.org/officeDocument/2006/relationships/worksheet" Target="/xl/worksheets/sheet7.xml" Id="R6505d689bf0e4a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22" customWidth="1"/>
    <x:col min="2" max="2" width="30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48" customWidth="1"/>
    <x:col min="19" max="19" width="48" customWidth="1"/>
  </x:cols>
  <x:sheetData>
    <x:row r="1" ht="42" customHeight="1">
      <x:c r="A1" s="1" t="inlineStr">
        <x:is>
          <x:t xml:space="preserve">exp_id</x:t>
        </x:is>
      </x:c>
      <x:c r="B1" s="1" t="inlineStr">
        <x:is>
          <x:t xml:space="preserve">backbone</x:t>
        </x:is>
      </x:c>
      <x:c r="C1" s="1" t="inlineStr">
        <x:is>
          <x:t xml:space="preserve">family</x:t>
        </x:is>
      </x:c>
      <x:c r="D1" s="1" t="inlineStr">
        <x:is>
          <x:t xml:space="preserve">pretrained_tag</x:t>
        </x:is>
      </x:c>
      <x:c r="E1" s="1" t="inlineStr">
        <x:is>
          <x:t xml:space="preserve">seed</x:t>
        </x:is>
      </x:c>
      <x:c r="F1" s="1" t="inlineStr">
        <x:is>
          <x:t xml:space="preserve">epochs</x:t>
        </x:is>
      </x:c>
      <x:c r="G1" s="1" t="inlineStr">
        <x:is>
          <x:t xml:space="preserve">batch_size</x:t>
        </x:is>
      </x:c>
      <x:c r="H1" s="1" t="inlineStr">
        <x:is>
          <x:t xml:space="preserve">params_m</x:t>
        </x:is>
      </x:c>
      <x:c r="I1" s="1" t="inlineStr">
        <x:is>
          <x:t xml:space="preserve">gmacs</x:t>
        </x:is>
      </x:c>
      <x:c r="J1" s="1" t="inlineStr">
        <x:is>
          <x:t xml:space="preserve">macro_f1_val</x:t>
        </x:is>
      </x:c>
      <x:c r="K1" s="1" t="inlineStr">
        <x:is>
          <x:t xml:space="preserve">top1_val</x:t>
        </x:is>
      </x:c>
      <x:c r="L1" s="1" t="inlineStr">
        <x:is>
          <x:t xml:space="preserve">best_epoch</x:t>
        </x:is>
      </x:c>
      <x:c r="M1" s="1" t="inlineStr">
        <x:is>
          <x:t xml:space="preserve">train_seconds_epoch</x:t>
        </x:is>
      </x:c>
      <x:c r="N1" s="1" t="inlineStr">
        <x:is>
          <x:t xml:space="preserve">train_val_seconds_epoch</x:t>
        </x:is>
      </x:c>
      <x:c r="O1" s="1" t="inlineStr">
        <x:is>
          <x:t xml:space="preserve">latency_ms_batch1_fp32</x:t>
        </x:is>
      </x:c>
      <x:c r="P1" s="1" t="inlineStr">
        <x:is>
          <x:t xml:space="preserve">gpu</x:t>
        </x:is>
      </x:c>
      <x:c r="Q1" s="1" t="inlineStr">
        <x:is>
          <x:t xml:space="preserve">status</x:t>
        </x:is>
      </x:c>
      <x:c r="R1" s="1" t="inlineStr">
        <x:is>
          <x:t xml:space="preserve">config_path</x:t>
        </x:is>
      </x:c>
      <x:c r="S1" s="1" t="inlineStr">
        <x:is>
          <x:t xml:space="preserve">curve_path</x:t>
        </x:is>
      </x:c>
    </x:row>
    <x:row r="2">
      <x:c r="A2" s="2" t="inlineStr">
        <x:is>
          <x:t xml:space="preserve">B01</x:t>
        </x:is>
      </x:c>
      <x:c r="B2" s="2" t="inlineStr">
        <x:is>
          <x:t xml:space="preserve">resnet50</x:t>
        </x:is>
      </x:c>
      <x:c r="C2" s="2" t="inlineStr">
        <x:is>
          <x:t xml:space="preserve">ResNet</x:t>
        </x:is>
      </x:c>
      <x:c r="D2" s="2" t="inlineStr">
        <x:is>
          <x:t xml:space="preserve">a1_in1k</x:t>
        </x:is>
      </x:c>
      <x:c r="E2" s="2" t="n">
        <x:v>0</x:v>
      </x:c>
      <x:c r="F2" s="2" t="n">
        <x:v>10</x:v>
      </x:c>
      <x:c r="G2" s="2" t="n">
        <x:v>32</x:v>
      </x:c>
      <x:c r="H2" s="3" t="n">
        <x:v>23.526473</x:v>
      </x:c>
      <x:c r="I2" s="3" t="n">
        <x:v>4.109483008</x:v>
      </x:c>
      <x:c r="J2" s="4" t="n">
        <x:v>0.8573082323737379</x:v>
      </x:c>
      <x:c r="K2" s="4" t="n">
        <x:v>0.8931733790345615</x:v>
      </x:c>
      <x:c r="L2" s="2" t="n">
        <x:v>10</x:v>
      </x:c>
      <x:c r="M2" s="5" t="n">
        <x:v>49.22621752440002</x:v>
      </x:c>
      <x:c r="N2" s="5" t="n">
        <x:v>61.4708480665</x:v>
      </x:c>
      <x:c r="O2" s="3" t="n">
        <x:v>9.531718000289402</x:v>
      </x:c>
      <x:c r="P2" s="2" t="inlineStr">
        <x:is>
          <x:t xml:space="preserve">Tesla T4</x:t>
        </x:is>
      </x:c>
      <x:c r="Q2" s="2" t="inlineStr">
        <x:is>
          <x:t xml:space="preserve">Đủ kết quả</x:t>
        </x:is>
      </x:c>
      <x:c r="R2" s="2" t="inlineStr">
        <x:is>
          <x:t xml:space="preserve">runs/B01/seed0/config.json</x:t>
        </x:is>
      </x:c>
      <x:c r="S2" s="2" t="inlineStr">
        <x:is>
          <x:t xml:space="preserve">curves/B01_resnet50_seed0.png</x:t>
        </x:is>
      </x:c>
    </x:row>
    <x:row r="3">
      <x:c r="A3" s="2" t="inlineStr">
        <x:is>
          <x:t xml:space="preserve">B02</x:t>
        </x:is>
      </x:c>
      <x:c r="B3" s="2" t="inlineStr">
        <x:is>
          <x:t xml:space="preserve">resnext50_32x4d</x:t>
        </x:is>
      </x:c>
      <x:c r="C3" s="2" t="inlineStr">
        <x:is>
          <x:t xml:space="preserve">ResNeXt</x:t>
        </x:is>
      </x:c>
      <x:c r="D3" s="2" t="inlineStr">
        <x:is>
          <x:t xml:space="preserve">a1h_in1k</x:t>
        </x:is>
      </x:c>
      <x:c r="E3" s="2" t="n">
        <x:v>0</x:v>
      </x:c>
      <x:c r="F3" s="2" t="n">
        <x:v>10</x:v>
      </x:c>
      <x:c r="G3" s="2" t="n">
        <x:v>32</x:v>
      </x:c>
      <x:c r="H3" s="3" t="n">
        <x:v>22.998345</x:v>
      </x:c>
      <x:c r="I3" s="3" t="n">
        <x:v>4.25735168</x:v>
      </x:c>
      <x:c r="J3" s="4" t="n">
        <x:v>0.8327761215168558</x:v>
      </x:c>
      <x:c r="K3" s="4" t="n">
        <x:v>0.8691802342187946</x:v>
      </x:c>
      <x:c r="L3" s="2" t="n">
        <x:v>7</x:v>
      </x:c>
      <x:c r="M3" s="5" t="n">
        <x:v>58.04206934779999</x:v>
      </x:c>
      <x:c r="N3" s="5" t="n">
        <x:v>74.10097550439995</x:v>
      </x:c>
      <x:c r="O3" s="3" t="n">
        <x:v>16.97564000005514</x:v>
      </x:c>
      <x:c r="P3" s="2" t="inlineStr">
        <x:is>
          <x:t xml:space="preserve">Tesla T4</x:t>
        </x:is>
      </x:c>
      <x:c r="Q3" s="2" t="inlineStr">
        <x:is>
          <x:t xml:space="preserve">Đủ kết quả</x:t>
        </x:is>
      </x:c>
      <x:c r="R3" s="2" t="inlineStr">
        <x:is>
          <x:t xml:space="preserve">runs/B02/seed0/config.json</x:t>
        </x:is>
      </x:c>
      <x:c r="S3" s="2" t="inlineStr">
        <x:is>
          <x:t xml:space="preserve">curves/B02_resnext50_32x4d_seed0.png</x:t>
        </x:is>
      </x:c>
    </x:row>
    <x:row r="4">
      <x:c r="A4" s="2" t="inlineStr">
        <x:is>
          <x:t xml:space="preserve">B03</x:t>
        </x:is>
      </x:c>
      <x:c r="B4" s="2" t="inlineStr">
        <x:is>
          <x:t xml:space="preserve">convnext_tiny</x:t>
        </x:is>
      </x:c>
      <x:c r="C4" s="2" t="inlineStr">
        <x:is>
          <x:t xml:space="preserve">ConvNeXt</x:t>
        </x:is>
      </x:c>
      <x:c r="D4" s="2" t="inlineStr">
        <x:is>
          <x:t xml:space="preserve">fb_in1k</x:t>
        </x:is>
      </x:c>
      <x:c r="E4" s="2" t="n">
        <x:v>0</x:v>
      </x:c>
      <x:c r="F4" s="2" t="n">
        <x:v>10</x:v>
      </x:c>
      <x:c r="G4" s="2" t="n">
        <x:v>32</x:v>
      </x:c>
      <x:c r="H4" s="3" t="n">
        <x:v>27.827049</x:v>
      </x:c>
      <x:c r="I4" s="3" t="n">
        <x:v>4.469676288</x:v>
      </x:c>
      <x:c r="J4" s="4" t="n">
        <x:v>0.9630281550883212</x:v>
      </x:c>
      <x:c r="K4" s="4" t="n">
        <x:v>0.9737217937732077</x:v>
      </x:c>
      <x:c r="L4" s="2" t="n">
        <x:v>9</x:v>
      </x:c>
      <x:c r="M4" s="5" t="n">
        <x:v>63.28011739890007</x:v>
      </x:c>
      <x:c r="N4" s="5" t="n">
        <x:v>78.16264303100006</x:v>
      </x:c>
      <x:c r="O4" s="3" t="n">
        <x:v>7.29326000009678</x:v>
      </x:c>
      <x:c r="P4" s="2" t="inlineStr">
        <x:is>
          <x:t xml:space="preserve">Tesla T4</x:t>
        </x:is>
      </x:c>
      <x:c r="Q4" s="2" t="inlineStr">
        <x:is>
          <x:t xml:space="preserve">Đủ kết quả</x:t>
        </x:is>
      </x:c>
      <x:c r="R4" s="2" t="inlineStr">
        <x:is>
          <x:t xml:space="preserve">runs/B03/seed0/config.json</x:t>
        </x:is>
      </x:c>
      <x:c r="S4" s="2" t="inlineStr">
        <x:is>
          <x:t xml:space="preserve">curves/B03_convnext_tiny_seed0.png</x:t>
        </x:is>
      </x:c>
    </x:row>
    <x:row r="5">
      <x:c r="A5" s="2" t="inlineStr">
        <x:is>
          <x:t xml:space="preserve">B04</x:t>
        </x:is>
      </x:c>
      <x:c r="B5" s="2" t="inlineStr">
        <x:is>
          <x:t xml:space="preserve">deit_small_patch16_224</x:t>
        </x:is>
      </x:c>
      <x:c r="C5" s="2" t="inlineStr">
        <x:is>
          <x:t xml:space="preserve">Transformer</x:t>
        </x:is>
      </x:c>
      <x:c r="D5" s="2" t="inlineStr">
        <x:is>
          <x:t xml:space="preserve">fb_in1k</x:t>
        </x:is>
      </x:c>
      <x:c r="E5" s="2" t="n">
        <x:v>0</x:v>
      </x:c>
      <x:c r="F5" s="2" t="n">
        <x:v>10</x:v>
      </x:c>
      <x:c r="G5" s="2" t="n">
        <x:v>32</x:v>
      </x:c>
      <x:c r="H5" s="3" t="n">
        <x:v>21.669129</x:v>
      </x:c>
      <x:c r="I5" s="3" t="n">
        <x:v>4.60795776</x:v>
      </x:c>
      <x:c r="J5" s="4" t="n">
        <x:v>0.9557499053818321</x:v>
      </x:c>
      <x:c r="K5" s="4" t="n">
        <x:v>0.9685804055984004</x:v>
      </x:c>
      <x:c r="L5" s="2" t="n">
        <x:v>9</x:v>
      </x:c>
      <x:c r="M5" s="5" t="n">
        <x:v>43.03982475029984</x:v>
      </x:c>
      <x:c r="N5" s="5" t="n">
        <x:v>55.14040234149998</x:v>
      </x:c>
      <x:c r="O5" s="3" t="n">
        <x:v>4.644075000214798</x:v>
      </x:c>
      <x:c r="P5" s="2" t="inlineStr">
        <x:is>
          <x:t xml:space="preserve">Tesla T4</x:t>
        </x:is>
      </x:c>
      <x:c r="Q5" s="2" t="inlineStr">
        <x:is>
          <x:t xml:space="preserve">Đủ kết quả</x:t>
        </x:is>
      </x:c>
      <x:c r="R5" s="2" t="inlineStr">
        <x:is>
          <x:t xml:space="preserve">runs/B04/seed0/config.json</x:t>
        </x:is>
      </x:c>
      <x:c r="S5" s="2" t="inlineStr">
        <x:is>
          <x:t xml:space="preserve">curves/B04_deit_small_patch16_224_seed0.png</x:t>
        </x:is>
      </x:c>
    </x:row>
    <x:row r="6">
      <x:c r="A6" s="2" t="inlineStr">
        <x:is>
          <x:t xml:space="preserve">B05</x:t>
        </x:is>
      </x:c>
      <x:c r="B6" s="2" t="inlineStr">
        <x:is>
          <x:t xml:space="preserve">efficientnet_b0</x:t>
        </x:is>
      </x:c>
      <x:c r="C6" s="2" t="inlineStr">
        <x:is>
          <x:t xml:space="preserve">Lightweight</x:t>
        </x:is>
      </x:c>
      <x:c r="D6" s="2" t="inlineStr">
        <x:is>
          <x:t xml:space="preserve">ra_in1k</x:t>
        </x:is>
      </x:c>
      <x:c r="E6" s="2" t="n">
        <x:v>0</x:v>
      </x:c>
      <x:c r="F6" s="2" t="n">
        <x:v>10</x:v>
      </x:c>
      <x:c r="G6" s="2" t="n">
        <x:v>32</x:v>
      </x:c>
      <x:c r="H6" s="3" t="n">
        <x:v>4.019077</x:v>
      </x:c>
      <x:c r="I6" s="3" t="n">
        <x:v>0.398084384</x:v>
      </x:c>
      <x:c r="J6" s="4" t="n">
        <x:v>0.8592849999001916</x:v>
      </x:c>
      <x:c r="K6" s="4" t="n">
        <x:v>0.8934590117109398</x:v>
      </x:c>
      <x:c r="L6" s="2" t="n">
        <x:v>9</x:v>
      </x:c>
      <x:c r="M6" s="5" t="n">
        <x:v>46.75870815050003</x:v>
      </x:c>
      <x:c r="N6" s="5" t="n">
        <x:v>54.63068402609997</x:v>
      </x:c>
      <x:c r="O6" s="3" t="n">
        <x:v>7.526886000050581</x:v>
      </x:c>
      <x:c r="P6" s="2" t="inlineStr">
        <x:is>
          <x:t xml:space="preserve">Tesla T4</x:t>
        </x:is>
      </x:c>
      <x:c r="Q6" s="2" t="inlineStr">
        <x:is>
          <x:t xml:space="preserve">Đủ kết quả</x:t>
        </x:is>
      </x:c>
      <x:c r="R6" s="2" t="inlineStr">
        <x:is>
          <x:t xml:space="preserve">runs/B05/seed0/config.json</x:t>
        </x:is>
      </x:c>
      <x:c r="S6" s="2" t="inlineStr">
        <x:is>
          <x:t xml:space="preserve">curves/B05_efficientnet_b0_seed0.png</x:t>
        </x:is>
      </x:c>
    </x:row>
    <x:row r="9">
      <x:c r="A9" t="inlineStr">
        <x:is>
          <x:t xml:space="preserve">T00: 10 epoch, batch 32, seed 0. Một seed mỗi backbone; chỉ val.</x:t>
        </x:is>
      </x:c>
    </x:row>
    <x:row r="10">
      <x:c r="A10" t="inlineStr">
        <x:is>
          <x:t xml:space="preserve">Latency sơ bộ: FP32, batch 1, 10 warmup + một forward; chỉ thời gian model trên GPU.</x:t>
        </x:is>
      </x:c>
    </x:row>
    <x:row r="11">
      <x:c r="A11" t="inlineStr">
        <x:is>
          <x:t xml:space="preserve">Nguồn: runs/B0x/seed0/{config,history,summary,latency_preliminary}.json/csv.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6.880000114440918" hidden="0" customWidth="1"/>
    <x:col min="4" max="4" width="18.1299991607666" hidden="0" customWidth="1"/>
    <x:col min="5" max="5" width="30.6299991607666" hidden="0" customWidth="1"/>
    <x:col min="6" max="6" width="18.75" hidden="0" customWidth="1"/>
    <x:col min="7" max="7" width="18.7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8.1299991607666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8.1299991607666" hidden="0" customWidth="1"/>
    <x:col min="26" max="26" width="21.8799991607666" hidden="0" customWidth="1"/>
    <x:col min="27" max="27" width="45" hidden="0" customWidth="1"/>
    <x:col min="28" max="28" width="45" hidden="0" customWidth="1"/>
  </x:cols>
  <x:sheetData>
    <x:row r="1" ht="44" customHeight="1">
      <x:c r="A1" s="25" t="str">
        <x:v>exp_id</x:v>
      </x:c>
      <x:c r="B1" s="25" t="str">
        <x:v>backbone</x:v>
      </x:c>
      <x:c r="C1" s="25" t="str">
        <x:v>seed</x:v>
      </x:c>
      <x:c r="D1" s="25" t="str">
        <x:v>Trục</x:v>
      </x:c>
      <x:c r="E1" s="25" t="str">
        <x:v>Biến thể</x:v>
      </x:c>
      <x:c r="F1" s="25" t="str">
        <x:v>base_exp_id</x:v>
      </x:c>
      <x:c r="G1" s="25" t="str">
        <x:v>Khác T00</x:v>
      </x:c>
      <x:c r="H1" s="25" t="str">
        <x:v>Macro-F1 val</x:v>
      </x:c>
      <x:c r="I1" s="25" t="str">
        <x:v>Δ F1 (pp)</x:v>
      </x:c>
      <x:c r="J1" s="25" t="str">
        <x:v>Top-1 val</x:v>
      </x:c>
      <x:c r="K1" s="25" t="str">
        <x:v>ECE val</x:v>
      </x:c>
      <x:c r="L1" s="25" t="str">
        <x:v>NLL val</x:v>
      </x:c>
      <x:c r="M1" s="25" t="str">
        <x:v>Balanced acc val</x:v>
      </x:c>
      <x:c r="N1" s="25" t="str">
        <x:v>F1 Chinee Apple</x:v>
      </x:c>
      <x:c r="O1" s="25" t="str">
        <x:v>F1 Snake Weed</x:v>
      </x:c>
      <x:c r="P1" s="25" t="str">
        <x:v>best_epoch</x:v>
      </x:c>
      <x:c r="Q1" s="25" t="str">
        <x:v>Train (s/epoch)</x:v>
      </x:c>
      <x:c r="R1" s="25" t="str">
        <x:v>Trạng thái</x:v>
      </x:c>
      <x:c r="S1" s="25" t="str">
        <x:v>init</x:v>
      </x:c>
      <x:c r="T1" s="25" t="str">
        <x:v>aug</x:v>
      </x:c>
      <x:c r="U1" s="25" t="str">
        <x:v>mix</x:v>
      </x:c>
      <x:c r="V1" s="25" t="str">
        <x:v>loss</x:v>
      </x:c>
      <x:c r="W1" s="25" t="str">
        <x:v>label_smoothing</x:v>
      </x:c>
      <x:c r="X1" s="25" t="str">
        <x:v>focal_gamma</x:v>
      </x:c>
      <x:c r="Y1" s="25" t="str">
        <x:v>pretrained_tag</x:v>
      </x:c>
      <x:c r="Z1" s="25" t="str">
        <x:v>Ghi chú</x:v>
      </x:c>
      <x:c r="AA1" s="25" t="str">
        <x:v>Cấu hình nguồn</x:v>
      </x:c>
      <x:c r="AB1" s="25" t="str">
        <x:v>Biểu đồ nguồn</x:v>
      </x:c>
    </x:row>
    <x:row r="2" ht="40" customHeight="1">
      <x:c r="A2" s="7" t="str">
        <x:v>T00</x:v>
      </x:c>
      <x:c r="B2" s="7" t="str">
        <x:v>convnext_tiny</x:v>
      </x:c>
      <x:c r="C2" s="7" t="n">
        <x:v>0</x:v>
      </x:c>
      <x:c r="D2" s="7" t="str">
        <x:v>Baseline</x:v>
      </x:c>
      <x:c r="E2" s="12" t="str">
        <x:v>B03 reused; no new training</x:v>
      </x:c>
      <x:c r="F2" s="12" t="str">
        <x:v>T00 (=B03)</x:v>
      </x:c>
      <x:c r="G2" s="12" t="str"/>
      <x:c r="H2" s="14" t="n">
        <x:v>0.9630281550883212</x:v>
      </x:c>
      <x:c r="I2" s="15" t="n">
        <x:f>IF(ISNUMBER(H2),100*(H2-$H$2),"")</x:f>
        <x:v>0</x:v>
      </x:c>
      <x:c r="J2" s="14" t="n">
        <x:v>0.9737217937732077</x:v>
      </x:c>
      <x:c r="K2" s="16" t="n">
        <x:v>0.008014003161953784</x:v>
      </x:c>
      <x:c r="L2" s="16" t="n">
        <x:v>0.09933943087445099</x:v>
      </x:c>
      <x:c r="M2" s="14" t="n">
        <x:v>0.9618443428728182</x:v>
      </x:c>
      <x:c r="N2" s="14" t="n">
        <x:v>0.9303370786516855</x:v>
      </x:c>
      <x:c r="O2" s="14" t="n">
        <x:v>0.9238329238329237</x:v>
      </x:c>
      <x:c r="P2" s="13" t="n">
        <x:v>9</x:v>
      </x:c>
      <x:c r="Q2" s="17" t="n">
        <x:v>63.280117398900074</x:v>
      </x:c>
      <x:c r="R2" s="7" t="str">
        <x:v>Đủ kết quả</x:v>
      </x:c>
      <x:c r="S2" s="7" t="str">
        <x:v>finetune</x:v>
      </x:c>
      <x:c r="T2" s="7" t="str">
        <x:v>basic</x:v>
      </x:c>
      <x:c r="U2" s="7"/>
      <x:c r="V2" s="7" t="str">
        <x:v>ce</x:v>
      </x:c>
      <x:c r="W2" s="7" t="n">
        <x:v>0</x:v>
      </x:c>
      <x:c r="X2" s="7" t="n">
        <x:v>2</x:v>
      </x:c>
      <x:c r="Y2" s="7" t="str">
        <x:v>fb_in1k</x:v>
      </x:c>
      <x:c r="Z2" s="7" t="str">
        <x:v>Single seed; val only</x:v>
      </x:c>
      <x:c r="AA2" s="7" t="str">
        <x:v>runs/B03/seed0/config.json</x:v>
      </x:c>
      <x:c r="AB2" s="7" t="str">
        <x:v>curves/T00_convnext_tiny_seed0.png</x:v>
      </x:c>
    </x:row>
    <x:row r="3" ht="40" customHeight="1">
      <x:c r="A3" s="7" t="str">
        <x:v>T01</x:v>
      </x:c>
      <x:c r="B3" s="7" t="str">
        <x:v>convnext_tiny</x:v>
      </x:c>
      <x:c r="C3" s="7" t="n">
        <x:v>0</x:v>
      </x:c>
      <x:c r="D3" s="7" t="str">
        <x:v>A. Initialization</x:v>
      </x:c>
      <x:c r="E3" s="12" t="str">
        <x:v>Scratch</x:v>
      </x:c>
      <x:c r="F3" s="12" t="str">
        <x:v>T00 (=B03)</x:v>
      </x:c>
      <x:c r="G3" s="12" t="str">
        <x:v>init</x:v>
      </x:c>
      <x:c r="H3" s="14" t="n">
        <x:v>0.3360356501538258</x:v>
      </x:c>
      <x:c r="I3" s="15" t="n">
        <x:f>IF(ISNUMBER(H3),100*(H3-$H$2),"")</x:f>
        <x:v>-62.69925049344953</x:v>
      </x:c>
      <x:c r="J3" s="14" t="n">
        <x:v>0.5946872322193659</x:v>
      </x:c>
      <x:c r="K3" s="16" t="n">
        <x:v>0.02010781054841475</x:v>
      </x:c>
      <x:c r="L3" s="16" t="n">
        <x:v>1.2015892451522174</x:v>
      </x:c>
      <x:c r="M3" s="14" t="n">
        <x:v>0.3265582239202115</x:v>
      </x:c>
      <x:c r="N3" s="14" t="n">
        <x:v>0.29042904290429045</x:v>
      </x:c>
      <x:c r="O3" s="14" t="n">
        <x:v>0.2734375</x:v>
      </x:c>
      <x:c r="P3" s="13" t="n">
        <x:v>10</x:v>
      </x:c>
      <x:c r="Q3" s="17" t="n">
        <x:v>63.214513252</x:v>
      </x:c>
      <x:c r="R3" s="7" t="str">
        <x:v>Đủ kết quả</x:v>
      </x:c>
      <x:c r="S3" s="7" t="str">
        <x:v>scratch</x:v>
      </x:c>
      <x:c r="T3" s="7" t="str">
        <x:v>basic</x:v>
      </x:c>
      <x:c r="U3" s="7"/>
      <x:c r="V3" s="7" t="str">
        <x:v>ce</x:v>
      </x:c>
      <x:c r="W3" s="7" t="n">
        <x:v>0</x:v>
      </x:c>
      <x:c r="X3" s="7" t="n">
        <x:v>2</x:v>
      </x:c>
      <x:c r="Y3" s="7" t="str">
        <x:v>none (scratch)</x:v>
      </x:c>
      <x:c r="Z3" s="7" t="str">
        <x:v>Single seed; val only</x:v>
      </x:c>
      <x:c r="AA3" s="7" t="str">
        <x:v>runs/T01/seed0/config.json</x:v>
      </x:c>
      <x:c r="AB3" s="7" t="str">
        <x:v>curves/T01_convnext_tiny_seed0.png</x:v>
      </x:c>
    </x:row>
    <x:row r="4" ht="40" customHeight="1">
      <x:c r="A4" s="7" t="str">
        <x:v>T02</x:v>
      </x:c>
      <x:c r="B4" s="7" t="str">
        <x:v>convnext_tiny</x:v>
      </x:c>
      <x:c r="C4" s="7" t="n">
        <x:v>0</x:v>
      </x:c>
      <x:c r="D4" s="7" t="str">
        <x:v>A. Initialization</x:v>
      </x:c>
      <x:c r="E4" s="12" t="str">
        <x:v>Frozen backbone</x:v>
      </x:c>
      <x:c r="F4" s="12" t="str">
        <x:v>T00 (=B03)</x:v>
      </x:c>
      <x:c r="G4" s="12" t="str">
        <x:v>init</x:v>
      </x:c>
      <x:c r="H4" s="14" t="n">
        <x:v>0.7152977667284105</x:v>
      </x:c>
      <x:c r="I4" s="15" t="n">
        <x:f>IF(ISNUMBER(H4),100*(H4-$H$2),"")</x:f>
        <x:v>-24.773038835991066</x:v>
      </x:c>
      <x:c r="J4" s="14" t="n">
        <x:v>0.7832047986289632</x:v>
      </x:c>
      <x:c r="K4" s="16" t="n">
        <x:v>0.05398326332762074</x:v>
      </x:c>
      <x:c r="L4" s="16" t="n">
        <x:v>0.6245727255388566</x:v>
      </x:c>
      <x:c r="M4" s="14" t="n">
        <x:v>0.6707498699009701</x:v>
      </x:c>
      <x:c r="N4" s="14" t="n">
        <x:v>0.6501240694789082</x:v>
      </x:c>
      <x:c r="O4" s="14" t="n">
        <x:v>0.6065573770491802</x:v>
      </x:c>
      <x:c r="P4" s="13" t="n">
        <x:v>10</x:v>
      </x:c>
      <x:c r="Q4" s="17" t="n">
        <x:v>38.101909545000034</x:v>
      </x:c>
      <x:c r="R4" s="7" t="str">
        <x:v>Đủ kết quả</x:v>
      </x:c>
      <x:c r="S4" s="7" t="str">
        <x:v>frozen</x:v>
      </x:c>
      <x:c r="T4" s="7" t="str">
        <x:v>basic</x:v>
      </x:c>
      <x:c r="U4" s="7"/>
      <x:c r="V4" s="7" t="str">
        <x:v>ce</x:v>
      </x:c>
      <x:c r="W4" s="7" t="n">
        <x:v>0</x:v>
      </x:c>
      <x:c r="X4" s="7" t="n">
        <x:v>2</x:v>
      </x:c>
      <x:c r="Y4" s="7" t="str">
        <x:v>fb_in1k</x:v>
      </x:c>
      <x:c r="Z4" s="7" t="str">
        <x:v>Single seed; val only</x:v>
      </x:c>
      <x:c r="AA4" s="7" t="str">
        <x:v>runs/T02/seed0/config.json</x:v>
      </x:c>
      <x:c r="AB4" s="7" t="str">
        <x:v>curves/T02_convnext_tiny_seed0.png</x:v>
      </x:c>
    </x:row>
    <x:row r="5" ht="40" customHeight="1">
      <x:c r="A5" s="7" t="str">
        <x:v>T03</x:v>
      </x:c>
      <x:c r="B5" s="7" t="str">
        <x:v>convnext_tiny</x:v>
      </x:c>
      <x:c r="C5" s="7" t="n">
        <x:v>0</x:v>
      </x:c>
      <x:c r="D5" s="7" t="str">
        <x:v>B. Augmentation</x:v>
      </x:c>
      <x:c r="E5" s="12" t="str">
        <x:v>ColorJitter</x:v>
      </x:c>
      <x:c r="F5" s="12" t="str">
        <x:v>T00 (=B03)</x:v>
      </x:c>
      <x:c r="G5" s="12" t="str">
        <x:v>aug</x:v>
      </x:c>
      <x:c r="H5" s="14" t="n">
        <x:v>0.9556116440679866</x:v>
      </x:c>
      <x:c r="I5" s="15" t="n">
        <x:f>IF(ISNUMBER(H5),100*(H5-$H$2),"")</x:f>
        <x:v>-0.7416511020334582</x:v>
      </x:c>
      <x:c r="J5" s="14" t="n">
        <x:v>0.9671522422165095</x:v>
      </x:c>
      <x:c r="K5" s="16" t="n">
        <x:v>0.009281491665238471</x:v>
      </x:c>
      <x:c r="L5" s="16" t="n">
        <x:v>0.1127204862552555</x:v>
      </x:c>
      <x:c r="M5" s="14" t="n">
        <x:v>0.9496707591769614</x:v>
      </x:c>
      <x:c r="N5" s="14" t="n">
        <x:v>0.9044289044289044</x:v>
      </x:c>
      <x:c r="O5" s="14" t="n">
        <x:v>0.9144254278728607</x:v>
      </x:c>
      <x:c r="P5" s="13" t="n">
        <x:v>9</x:v>
      </x:c>
      <x:c r="Q5" s="17" t="n">
        <x:v>97.89939454580004</x:v>
      </x:c>
      <x:c r="R5" s="7" t="str">
        <x:v>Đủ kết quả</x:v>
      </x:c>
      <x:c r="S5" s="7" t="str">
        <x:v>finetune</x:v>
      </x:c>
      <x:c r="T5" s="7" t="str">
        <x:v>color</x:v>
      </x:c>
      <x:c r="U5" s="7"/>
      <x:c r="V5" s="7" t="str">
        <x:v>ce</x:v>
      </x:c>
      <x:c r="W5" s="7" t="n">
        <x:v>0</x:v>
      </x:c>
      <x:c r="X5" s="7" t="n">
        <x:v>2</x:v>
      </x:c>
      <x:c r="Y5" s="7" t="str">
        <x:v>fb_in1k</x:v>
      </x:c>
      <x:c r="Z5" s="7" t="str">
        <x:v>Single seed; val only</x:v>
      </x:c>
      <x:c r="AA5" s="7" t="str">
        <x:v>runs/T03/seed0/config.json</x:v>
      </x:c>
      <x:c r="AB5" s="7" t="str">
        <x:v>curves/T03_convnext_tiny_seed0.png</x:v>
      </x:c>
    </x:row>
    <x:row r="6" ht="40" customHeight="1">
      <x:c r="A6" s="7" t="str">
        <x:v>T04</x:v>
      </x:c>
      <x:c r="B6" s="7" t="str">
        <x:v>convnext_tiny</x:v>
      </x:c>
      <x:c r="C6" s="7" t="n">
        <x:v>0</x:v>
      </x:c>
      <x:c r="D6" s="7" t="str">
        <x:v>B. Augmentation</x:v>
      </x:c>
      <x:c r="E6" s="12" t="str">
        <x:v>CutMix alpha=1</x:v>
      </x:c>
      <x:c r="F6" s="12" t="str">
        <x:v>T00 (=B03)</x:v>
      </x:c>
      <x:c r="G6" s="12" t="str">
        <x:v>mix</x:v>
      </x:c>
      <x:c r="H6" s="14" t="n">
        <x:v>0.9630413373883078</x:v>
      </x:c>
      <x:c r="I6" s="15" t="n">
        <x:f>IF(ISNUMBER(H6),100*(H6-$H$2),"")</x:f>
        <x:v>0.0013182299986591595</x:v>
      </x:c>
      <x:c r="J6" s="14" t="n">
        <x:v>0.9720079977149386</x:v>
      </x:c>
      <x:c r="K6" s="16" t="n">
        <x:v>0.025046328791773743</x:v>
      </x:c>
      <x:c r="L6" s="16" t="n">
        <x:v>0.11440283292761783</x:v>
      </x:c>
      <x:c r="M6" s="14" t="n">
        <x:v>0.9647086945995341</x:v>
      </x:c>
      <x:c r="N6" s="14" t="n">
        <x:v>0.9265033407572383</x:v>
      </x:c>
      <x:c r="O6" s="14" t="n">
        <x:v>0.9166666666666666</x:v>
      </x:c>
      <x:c r="P6" s="13" t="n">
        <x:v>9</x:v>
      </x:c>
      <x:c r="Q6" s="17" t="n">
        <x:v>63.34682775949996</x:v>
      </x:c>
      <x:c r="R6" s="7" t="str">
        <x:v>Đủ kết quả</x:v>
      </x:c>
      <x:c r="S6" s="7" t="str">
        <x:v>finetune</x:v>
      </x:c>
      <x:c r="T6" s="7" t="str">
        <x:v>basic</x:v>
      </x:c>
      <x:c r="U6" s="7" t="str">
        <x:v>cutmix</x:v>
      </x:c>
      <x:c r="V6" s="7" t="str">
        <x:v>ce</x:v>
      </x:c>
      <x:c r="W6" s="7" t="n">
        <x:v>0</x:v>
      </x:c>
      <x:c r="X6" s="7" t="n">
        <x:v>2</x:v>
      </x:c>
      <x:c r="Y6" s="7" t="str">
        <x:v>fb_in1k</x:v>
      </x:c>
      <x:c r="Z6" s="7" t="str">
        <x:v>Single seed; val only</x:v>
      </x:c>
      <x:c r="AA6" s="7" t="str">
        <x:v>runs/T04/seed0/config.json</x:v>
      </x:c>
      <x:c r="AB6" s="7" t="str">
        <x:v>curves/T04_convnext_tiny_seed0.png</x:v>
      </x:c>
    </x:row>
    <x:row r="7" ht="40" customHeight="1">
      <x:c r="A7" s="26" t="str">
        <x:v>T05</x:v>
      </x:c>
      <x:c r="B7" s="26" t="str">
        <x:v>convnext_tiny</x:v>
      </x:c>
      <x:c r="C7" s="26" t="n">
        <x:v>0</x:v>
      </x:c>
      <x:c r="D7" s="26" t="str">
        <x:v>C. Loss</x:v>
      </x:c>
      <x:c r="E7" s="27" t="str">
        <x:v>Label smoothing epsilon=0.1</x:v>
      </x:c>
      <x:c r="F7" s="27" t="str">
        <x:v>T00 (=B03)</x:v>
      </x:c>
      <x:c r="G7" s="27" t="str">
        <x:v>loss, label_smoothing</x:v>
      </x:c>
      <x:c r="H7" s="33" t="n">
        <x:v>0.9641032435221208</x:v>
      </x:c>
      <x:c r="I7" s="34" t="n">
        <x:f>IF(ISNUMBER(H7),100*(H7-$H$2),"")</x:f>
        <x:v>0.10750884337996647</x:v>
      </x:c>
      <x:c r="J7" s="28" t="n">
        <x:v>0.9737217937732077</x:v>
      </x:c>
      <x:c r="K7" s="30" t="n">
        <x:v>0.09615286034275924</x:v>
      </x:c>
      <x:c r="L7" s="30" t="n">
        <x:v>0.18524871511108398</x:v>
      </x:c>
      <x:c r="M7" s="28" t="n">
        <x:v>0.9642149222944004</x:v>
      </x:c>
      <x:c r="N7" s="28" t="n">
        <x:v>0.9345372460496613</x:v>
      </x:c>
      <x:c r="O7" s="28" t="n">
        <x:v>0.916256157635468</x:v>
      </x:c>
      <x:c r="P7" s="31" t="n">
        <x:v>9</x:v>
      </x:c>
      <x:c r="Q7" s="32" t="n">
        <x:v>63.137791451700195</x:v>
      </x:c>
      <x:c r="R7" s="26" t="str">
        <x:v>Đủ kết quả</x:v>
      </x:c>
      <x:c r="S7" s="26" t="str">
        <x:v>finetune</x:v>
      </x:c>
      <x:c r="T7" s="26" t="str">
        <x:v>basic</x:v>
      </x:c>
      <x:c r="U7" s="26"/>
      <x:c r="V7" s="26" t="str">
        <x:v>ls</x:v>
      </x:c>
      <x:c r="W7" s="26" t="n">
        <x:v>0.1</x:v>
      </x:c>
      <x:c r="X7" s="26" t="n">
        <x:v>2</x:v>
      </x:c>
      <x:c r="Y7" s="26" t="str">
        <x:v>fb_in1k</x:v>
      </x:c>
      <x:c r="Z7" s="26" t="str">
        <x:v>Chọn theo F1 val; một seed</x:v>
      </x:c>
      <x:c r="AA7" s="26" t="str">
        <x:v>runs/T05/seed0/config.json</x:v>
      </x:c>
      <x:c r="AB7" s="26" t="str">
        <x:v>curves/T05_convnext_tiny_seed0.png</x:v>
      </x:c>
    </x:row>
    <x:row r="8" ht="40" customHeight="1">
      <x:c r="A8" s="7" t="str">
        <x:v>T06</x:v>
      </x:c>
      <x:c r="B8" s="7" t="str">
        <x:v>convnext_tiny</x:v>
      </x:c>
      <x:c r="C8" s="7" t="n">
        <x:v>0</x:v>
      </x:c>
      <x:c r="D8" s="7" t="str">
        <x:v>C. Loss</x:v>
      </x:c>
      <x:c r="E8" s="12" t="str">
        <x:v>Focal gamma=2</x:v>
      </x:c>
      <x:c r="F8" s="12" t="str">
        <x:v>T00 (=B03)</x:v>
      </x:c>
      <x:c r="G8" s="12" t="str">
        <x:v>loss</x:v>
      </x:c>
      <x:c r="H8" s="14" t="n">
        <x:v>0.9625494526602486</x:v>
      </x:c>
      <x:c r="I8" s="15" t="n">
        <x:f>IF(ISNUMBER(H8),100*(H8-$H$2),"")</x:f>
        <x:v>-0.04787024280725749</x:v>
      </x:c>
      <x:c r="J8" s="14" t="n">
        <x:v>0.9722936303913168</x:v>
      </x:c>
      <x:c r="K8" s="16" t="n">
        <x:v>0.06808692773778913</x:v>
      </x:c>
      <x:c r="L8" s="16" t="n">
        <x:v>0.14966169694318757</x:v>
      </x:c>
      <x:c r="M8" s="14" t="n">
        <x:v>0.9577564923468458</x:v>
      </x:c>
      <x:c r="N8" s="14" t="n">
        <x:v>0.9282511210762331</x:v>
      </x:c>
      <x:c r="O8" s="14" t="n">
        <x:v>0.9203980099502488</x:v>
      </x:c>
      <x:c r="P8" s="13" t="n">
        <x:v>10</x:v>
      </x:c>
      <x:c r="Q8" s="17" t="n">
        <x:v>62.848105876699904</x:v>
      </x:c>
      <x:c r="R8" s="7" t="str">
        <x:v>Đủ kết quả</x:v>
      </x:c>
      <x:c r="S8" s="7" t="str">
        <x:v>finetune</x:v>
      </x:c>
      <x:c r="T8" s="7" t="str">
        <x:v>basic</x:v>
      </x:c>
      <x:c r="U8" s="7"/>
      <x:c r="V8" s="7" t="str">
        <x:v>focal</x:v>
      </x:c>
      <x:c r="W8" s="7" t="n">
        <x:v>0</x:v>
      </x:c>
      <x:c r="X8" s="7" t="n">
        <x:v>2</x:v>
      </x:c>
      <x:c r="Y8" s="7" t="str">
        <x:v>fb_in1k</x:v>
      </x:c>
      <x:c r="Z8" s="7" t="str">
        <x:v>Single seed; val only</x:v>
      </x:c>
      <x:c r="AA8" s="7" t="str">
        <x:v>runs/T06/seed0/config.json</x:v>
      </x:c>
      <x:c r="AB8" s="7" t="str">
        <x:v>curves/T06_convnext_tiny_seed0.png</x:v>
      </x:c>
    </x:row>
    <x:row r="9" ht="40" customHeight="1">
      <x:c r="A9" s="7" t="str">
        <x:v>T07</x:v>
      </x:c>
      <x:c r="B9" s="7" t="str">
        <x:v>convnext_tiny</x:v>
      </x:c>
      <x:c r="C9" s="7" t="n">
        <x:v>0</x:v>
      </x:c>
      <x:c r="D9" s="7" t="str">
        <x:v>Combination</x:v>
      </x:c>
      <x:c r="E9" s="12" t="str">
        <x:v>T04 + T05</x:v>
      </x:c>
      <x:c r="F9" s="12" t="str">
        <x:v>T00 (=B03)</x:v>
      </x:c>
      <x:c r="G9" s="12" t="str">
        <x:v>mix, loss, label_smoothing</x:v>
      </x:c>
      <x:c r="H9" s="14" t="n">
        <x:v>0.9614640269639282</x:v>
      </x:c>
      <x:c r="I9" s="15" t="n">
        <x:f>IF(ISNUMBER(H9),100*(H9-$H$2),"")</x:f>
        <x:v>-0.1564128124392994</x:v>
      </x:c>
      <x:c r="J9" s="14" t="n">
        <x:v>0.971151099685804</x:v>
      </x:c>
      <x:c r="K9" s="16" t="n">
        <x:v>0.11208554365609819</x:v>
      </x:c>
      <x:c r="L9" s="16" t="n">
        <x:v>0.20268437317373167</x:v>
      </x:c>
      <x:c r="M9" s="14" t="n">
        <x:v>0.9627498071911484</x:v>
      </x:c>
      <x:c r="N9" s="14" t="n">
        <x:v>0.9261744966442953</x:v>
      </x:c>
      <x:c r="O9" s="14" t="n">
        <x:v>0.9170731707317072</x:v>
      </x:c>
      <x:c r="P9" s="13" t="n">
        <x:v>10</x:v>
      </x:c>
      <x:c r="Q9" s="17" t="n">
        <x:v>63.5690033373</x:v>
      </x:c>
      <x:c r="R9" s="7" t="str">
        <x:v>Đủ kết quả</x:v>
      </x:c>
      <x:c r="S9" s="7" t="str">
        <x:v>finetune</x:v>
      </x:c>
      <x:c r="T9" s="7" t="str">
        <x:v>basic</x:v>
      </x:c>
      <x:c r="U9" s="7" t="str">
        <x:v>cutmix</x:v>
      </x:c>
      <x:c r="V9" s="7" t="str">
        <x:v>ls</x:v>
      </x:c>
      <x:c r="W9" s="7" t="n">
        <x:v>0.1</x:v>
      </x:c>
      <x:c r="X9" s="7" t="n">
        <x:v>2</x:v>
      </x:c>
      <x:c r="Y9" s="7" t="str">
        <x:v>fb_in1k</x:v>
      </x:c>
      <x:c r="Z9" s="7" t="str">
        <x:v>Single seed; val only</x:v>
      </x:c>
      <x:c r="AA9" s="7" t="str">
        <x:v>runs/T07/seed0/config.json</x:v>
      </x:c>
      <x:c r="AB9" s="7" t="str">
        <x:v>curves/T07_convnext_tiny_seed0.png</x:v>
      </x:c>
    </x:row>
    <x:row r="12">
      <x:c r="A12" t="str">
        <x:v>T00 dùng lại B03; seed 0, 10 epoch, batch 32. Chỉ val.</x:v>
      </x:c>
    </x:row>
    <x:row r="13">
      <x:c r="A13" t="str">
        <x:v>Đủ T00–T07. Sáu ablation và một kết hợp; dòng tô màu là công thức chọn bằng macro-F1 val.</x:v>
      </x:c>
    </x:row>
    <x:row r="14">
      <x:c r="A14" t="str">
        <x:v>Δ tính theo điểm phần trăm. Chưa có std giữa seed; không suy ra ưu thế từ chênh lệch nhỏ.</x:v>
      </x:c>
    </x:row>
  </x:sheetData>
  <x:mergeCells>
    <x:mergeCell ref="A12:G12"/>
    <x:mergeCell ref="A13:G13"/>
    <x:mergeCell ref="A14:G14"/>
  </x:mergeCells>
  <x:conditionalFormatting sqref="R2:R9">
    <x:cfRule type="containsText" dxfId="0" priority="1" operator="containsText" text="Chưa chạy"/>
    <x:cfRule type="containsText" dxfId="1" priority="2" operator="containsText" text="Chưa chạy"/>
    <x:cfRule type="containsText" dxfId="2" priority="3" operator="containsText" text="Chưa chạ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8.1299991607666" hidden="0" customWidth="1"/>
    <x:col min="3" max="3" width="41.880001068115234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28.1299991607666" hidden="0" customWidth="1"/>
    <x:col min="21" max="21" width="41.880001068115234" hidden="0" customWidth="1"/>
  </x:cols>
  <x:sheetData>
    <x:row r="1" ht="45" customHeight="1">
      <x:c r="A1" s="48" t="str">
        <x:v>exp_id</x:v>
      </x:c>
      <x:c r="B1" s="48" t="str">
        <x:v>Phương pháp</x:v>
      </x:c>
      <x:c r="C1" s="48" t="str">
        <x:v>Checkpoint</x:v>
      </x:c>
      <x:c r="D1" s="48" t="str">
        <x:v>K</x:v>
      </x:c>
      <x:c r="E1" s="48" t="str">
        <x:v>Crop size</x:v>
      </x:c>
      <x:c r="F1" s="48" t="str">
        <x:v>Input size</x:v>
      </x:c>
      <x:c r="G1" s="48" t="str">
        <x:v>dtype</x:v>
      </x:c>
      <x:c r="H1" s="48" t="str">
        <x:v>Gộp view</x:v>
      </x:c>
      <x:c r="I1" s="48" t="str">
        <x:v>Temperature T</x:v>
      </x:c>
      <x:c r="J1" s="48" t="str">
        <x:v>Macro-F1 val</x:v>
      </x:c>
      <x:c r="K1" s="48" t="str">
        <x:v>Top-1 val</x:v>
      </x:c>
      <x:c r="L1" s="48" t="str">
        <x:v>ECE val</x:v>
      </x:c>
      <x:c r="M1" s="48" t="str">
        <x:v>NLL val</x:v>
      </x:c>
      <x:c r="N1" s="48" t="str">
        <x:v>p50 (ms)</x:v>
      </x:c>
      <x:c r="O1" s="48" t="str">
        <x:v>p95 (ms)</x:v>
      </x:c>
      <x:c r="P1" s="48" t="str">
        <x:v>p99 (ms)</x:v>
      </x:c>
      <x:c r="Q1" s="48" t="str">
        <x:v>Chi phí × I00</x:v>
      </x:c>
      <x:c r="R1" s="48" t="str">
        <x:v>Ảnh/s batch 32</x:v>
      </x:c>
      <x:c r="S1" s="48" t="str">
        <x:v>p95 ≤ 100 ms</x:v>
      </x:c>
      <x:c r="T1" s="48" t="str">
        <x:v>Trạng thái</x:v>
      </x:c>
      <x:c r="U1" s="48" t="str">
        <x:v>Dự đoán val</x:v>
      </x:c>
    </x:row>
    <x:row r="2" ht="36" customHeight="1">
      <x:c r="A2" s="7" t="str">
        <x:v>I00</x:v>
      </x:c>
      <x:c r="B2" s="12" t="str">
        <x:v>1 view FP32</x:v>
      </x:c>
      <x:c r="C2" s="7" t="str">
        <x:v>runs/T05/seed0/best.pt</x:v>
      </x:c>
      <x:c r="D2" s="7" t="n">
        <x:v>1</x:v>
      </x:c>
      <x:c r="E2" s="7" t="n">
        <x:v>224</x:v>
      </x:c>
      <x:c r="F2" s="7" t="n">
        <x:v>224</x:v>
      </x:c>
      <x:c r="G2" s="7" t="str">
        <x:v>fp32</x:v>
      </x:c>
      <x:c r="H2" s="7" t="str">
        <x:v>prob</x:v>
      </x:c>
      <x:c r="I2" s="39" t="n">
        <x:v>1</x:v>
      </x:c>
      <x:c r="J2" s="40" t="n">
        <x:v>0.9641032435221208</x:v>
      </x:c>
      <x:c r="K2" s="40" t="n">
        <x:v>0.9737217937732077</x:v>
      </x:c>
      <x:c r="L2" s="41" t="n">
        <x:v>0.09615286034275924</x:v>
      </x:c>
      <x:c r="M2" s="41" t="n">
        <x:v>0.18524871511108398</x:v>
      </x:c>
      <x:c r="N2" s="42" t="n">
        <x:v>8.170875500013608</x:v>
      </x:c>
      <x:c r="O2" s="42" t="n">
        <x:v>9.390229150073992</x:v>
      </x:c>
      <x:c r="P2" s="42" t="n">
        <x:v>9.759574999982307</x:v>
      </x:c>
      <x:c r="Q2" s="43" t="n">
        <x:f>IF(AND(ISNUMBER(N2),ISNUMBER($N$2),$N$2&gt;0),N2/$N$2,"")</x:f>
        <x:v>1</x:v>
      </x:c>
      <x:c r="R2" s="44" t="n">
        <x:v>287.92069640754784</x:v>
      </x:c>
      <x:c r="S2" s="7" t="str">
        <x:f>IF(ISNUMBER(O2),IF(O2&lt;=100,"Đạt","Không đạt"),"Chờ đo")</x:f>
        <x:v>Đạt</x:v>
      </x:c>
      <x:c r="T2" s="12" t="str">
        <x:v>Đủ kết quả</x:v>
      </x:c>
      <x:c r="U2" s="7" t="str">
        <x:v>predictions/I00_seed0_val.csv</x:v>
      </x:c>
    </x:row>
    <x:row r="3" ht="36" customHeight="1">
      <x:c r="A3" s="7" t="str">
        <x:v>I01</x:v>
      </x:c>
      <x:c r="B3" s="12" t="str">
        <x:v>Hflip TTA / probability</x:v>
      </x:c>
      <x:c r="C3" s="7" t="str">
        <x:v>runs/T05/seed0/best.pt</x:v>
      </x:c>
      <x:c r="D3" s="7" t="n">
        <x:v>2</x:v>
      </x:c>
      <x:c r="E3" s="7" t="n">
        <x:v>224</x:v>
      </x:c>
      <x:c r="F3" s="7" t="n">
        <x:v>224</x:v>
      </x:c>
      <x:c r="G3" s="7" t="str">
        <x:v>fp32</x:v>
      </x:c>
      <x:c r="H3" s="7" t="str">
        <x:v>prob</x:v>
      </x:c>
      <x:c r="I3" s="39" t="n">
        <x:v>1</x:v>
      </x:c>
      <x:c r="J3" s="40" t="n">
        <x:v>0.9642588606265972</x:v>
      </x:c>
      <x:c r="K3" s="40" t="n">
        <x:v>0.9734361610968295</x:v>
      </x:c>
      <x:c r="L3" s="41" t="n">
        <x:v>0.09708798446443855</x:v>
      </x:c>
      <x:c r="M3" s="41" t="n">
        <x:v>0.18367426949220683</x:v>
      </x:c>
      <x:c r="N3" s="42" t="n">
        <x:v>15.592512500006706</x:v>
      </x:c>
      <x:c r="O3" s="42" t="n">
        <x:v>18.862193050108544</x:v>
      </x:c>
      <x:c r="P3" s="42" t="n">
        <x:v>20.782552349951416</x:v>
      </x:c>
      <x:c r="Q3" s="43" t="n">
        <x:f>IF(AND(ISNUMBER(N3),ISNUMBER($N$2),$N$2&gt;0),N3/$N$2,"")</x:f>
        <x:v>1.9083037674458188</x:v>
      </x:c>
      <x:c r="R3" s="44" t="n">
        <x:v>141.69541108373554</x:v>
      </x:c>
      <x:c r="S3" s="7" t="str">
        <x:f>IF(ISNUMBER(O3),IF(O3&lt;=100,"Đạt","Không đạt"),"Chờ đo")</x:f>
        <x:v>Đạt</x:v>
      </x:c>
      <x:c r="T3" s="12" t="str">
        <x:v>Đủ kết quả</x:v>
      </x:c>
      <x:c r="U3" s="7" t="str">
        <x:v>predictions/I01_seed0_val.csv</x:v>
      </x:c>
    </x:row>
    <x:row r="4" ht="36" customHeight="1">
      <x:c r="A4" s="7" t="str">
        <x:v>I02</x:v>
      </x:c>
      <x:c r="B4" s="12" t="str">
        <x:v>5 crops / probability</x:v>
      </x:c>
      <x:c r="C4" s="7" t="str">
        <x:v>runs/T05/seed0/best.pt</x:v>
      </x:c>
      <x:c r="D4" s="7" t="n">
        <x:v>5</x:v>
      </x:c>
      <x:c r="E4" s="7" t="n">
        <x:v>224</x:v>
      </x:c>
      <x:c r="F4" s="7" t="n">
        <x:v>256</x:v>
      </x:c>
      <x:c r="G4" s="7" t="str">
        <x:v>fp32</x:v>
      </x:c>
      <x:c r="H4" s="7" t="str">
        <x:v>prob</x:v>
      </x:c>
      <x:c r="I4" s="39" t="n">
        <x:v>1</x:v>
      </x:c>
      <x:c r="J4" s="40" t="n">
        <x:v>0.9661639604452444</x:v>
      </x:c>
      <x:c r="K4" s="40" t="n">
        <x:v>0.9754355898314767</x:v>
      </x:c>
      <x:c r="L4" s="41" t="n">
        <x:v>0.09960301870037136</x:v>
      </x:c>
      <x:c r="M4" s="41" t="n">
        <x:v>0.18408662857902397</x:v>
      </x:c>
      <x:c r="N4" s="42" t="n">
        <x:v>25.5043319999686</x:v>
      </x:c>
      <x:c r="O4" s="42" t="n">
        <x:v>42.252744699828774</x:v>
      </x:c>
      <x:c r="P4" s="42" t="n">
        <x:v>44.45592407001868</x:v>
      </x:c>
      <x:c r="Q4" s="43" t="n">
        <x:f>IF(AND(ISNUMBER(N4),ISNUMBER($N$2),$N$2&gt;0),N4/$N$2,"")</x:f>
        <x:v>3.12137077598675</x:v>
      </x:c>
      <x:c r="R4" s="44" t="n">
        <x:v>56.018330212275586</x:v>
      </x:c>
      <x:c r="S4" s="7" t="str">
        <x:f>IF(ISNUMBER(O4),IF(O4&lt;=100,"Đạt","Không đạt"),"Chờ đo")</x:f>
        <x:v>Đạt</x:v>
      </x:c>
      <x:c r="T4" s="12" t="str">
        <x:v>Đủ kết quả</x:v>
      </x:c>
      <x:c r="U4" s="7" t="str">
        <x:v>predictions/I02_seed0_val.csv</x:v>
      </x:c>
    </x:row>
    <x:row r="5" ht="36" customHeight="1">
      <x:c r="A5" s="7" t="str">
        <x:v>I03</x:v>
      </x:c>
      <x:c r="B5" s="12" t="str">
        <x:v>Hflip TTA / logits</x:v>
      </x:c>
      <x:c r="C5" s="7" t="str">
        <x:v>runs/T05/seed0/best.pt</x:v>
      </x:c>
      <x:c r="D5" s="7" t="n">
        <x:v>2</x:v>
      </x:c>
      <x:c r="E5" s="7" t="n">
        <x:v>224</x:v>
      </x:c>
      <x:c r="F5" s="7" t="n">
        <x:v>224</x:v>
      </x:c>
      <x:c r="G5" s="7" t="str">
        <x:v>fp32</x:v>
      </x:c>
      <x:c r="H5" s="7" t="str">
        <x:v>logit</x:v>
      </x:c>
      <x:c r="I5" s="39" t="n">
        <x:v>1</x:v>
      </x:c>
      <x:c r="J5" s="40" t="n">
        <x:v>0.9642724549175057</x:v>
      </x:c>
      <x:c r="K5" s="40" t="n">
        <x:v>0.9734361610968295</x:v>
      </x:c>
      <x:c r="L5" s="41" t="n">
        <x:v>0.09718448681233922</x:v>
      </x:c>
      <x:c r="M5" s="41" t="n">
        <x:v>0.18304255989916554</x:v>
      </x:c>
      <x:c r="N5" s="42" t="n">
        <x:v>14.315858999907505</x:v>
      </x:c>
      <x:c r="O5" s="42" t="n">
        <x:v>16.35914885002876</x:v>
      </x:c>
      <x:c r="P5" s="42" t="n">
        <x:v>17.28591950009104</x:v>
      </x:c>
      <x:c r="Q5" s="43" t="n">
        <x:f>IF(AND(ISNUMBER(N5),ISNUMBER($N$2),$N$2&gt;0),N5/$N$2,"")</x:f>
        <x:v>1.752059372325972</x:v>
      </x:c>
      <x:c r="R5" s="44" t="n">
        <x:v>140.00087056477707</x:v>
      </x:c>
      <x:c r="S5" s="7" t="str">
        <x:f>IF(ISNUMBER(O5),IF(O5&lt;=100,"Đạt","Không đạt"),"Chờ đo")</x:f>
        <x:v>Đạt</x:v>
      </x:c>
      <x:c r="T5" s="12" t="str">
        <x:v>Đủ kết quả</x:v>
      </x:c>
      <x:c r="U5" s="7" t="str">
        <x:v>predictions/I03_seed0_val.csv</x:v>
      </x:c>
    </x:row>
    <x:row r="6" ht="36" customHeight="1">
      <x:c r="A6" s="7" t="str">
        <x:v>I04</x:v>
      </x:c>
      <x:c r="B6" s="12" t="str">
        <x:v>Resolution 256</x:v>
      </x:c>
      <x:c r="C6" s="7" t="str">
        <x:v>runs/T05/seed0/best.pt</x:v>
      </x:c>
      <x:c r="D6" s="7" t="n">
        <x:v>1</x:v>
      </x:c>
      <x:c r="E6" s="7" t="n">
        <x:v>256</x:v>
      </x:c>
      <x:c r="F6" s="7" t="n">
        <x:v>256</x:v>
      </x:c>
      <x:c r="G6" s="7" t="str">
        <x:v>fp32</x:v>
      </x:c>
      <x:c r="H6" s="7" t="str">
        <x:v>prob</x:v>
      </x:c>
      <x:c r="I6" s="39" t="n">
        <x:v>1</x:v>
      </x:c>
      <x:c r="J6" s="40" t="n">
        <x:v>0.9689643072792996</x:v>
      </x:c>
      <x:c r="K6" s="40" t="n">
        <x:v>0.9765781205369894</x:v>
      </x:c>
      <x:c r="L6" s="41" t="n">
        <x:v>0.09549411788631819</x:v>
      </x:c>
      <x:c r="M6" s="41" t="n">
        <x:v>0.17404122427507127</x:v>
      </x:c>
      <x:c r="N6" s="42" t="n">
        <x:v>5.762696499687081</x:v>
      </x:c>
      <x:c r="O6" s="42" t="n">
        <x:v>9.138116349868142</x:v>
      </x:c>
      <x:c r="P6" s="42" t="n">
        <x:v>9.336611160060794</x:v>
      </x:c>
      <x:c r="Q6" s="43" t="n">
        <x:f>IF(AND(ISNUMBER(N6),ISNUMBER($N$2),$N$2&gt;0),N6/$N$2,"")</x:f>
        <x:v>0.7052728314949217</x:v>
      </x:c>
      <x:c r="R6" s="44" t="n">
        <x:v>219.4559660541361</x:v>
      </x:c>
      <x:c r="S6" s="7" t="str">
        <x:f>IF(ISNUMBER(O6),IF(O6&lt;=100,"Đạt","Không đạt"),"Chờ đo")</x:f>
        <x:v>Đạt</x:v>
      </x:c>
      <x:c r="T6" s="12" t="str">
        <x:v>Đủ kết quả</x:v>
      </x:c>
      <x:c r="U6" s="7" t="str">
        <x:v>predictions/I04_seed0_val.csv</x:v>
      </x:c>
    </x:row>
    <x:row r="7" ht="36" customHeight="1">
      <x:c r="A7" s="7" t="str">
        <x:v>I09</x:v>
      </x:c>
      <x:c r="B7" s="12" t="str">
        <x:v>Resolution 288</x:v>
      </x:c>
      <x:c r="C7" s="7" t="str">
        <x:v>runs/T05/seed0/best.pt</x:v>
      </x:c>
      <x:c r="D7" s="7" t="n">
        <x:v>1</x:v>
      </x:c>
      <x:c r="E7" s="7" t="n">
        <x:v>288</x:v>
      </x:c>
      <x:c r="F7" s="7" t="n">
        <x:v>288</x:v>
      </x:c>
      <x:c r="G7" s="7" t="str">
        <x:v>fp32</x:v>
      </x:c>
      <x:c r="H7" s="7" t="str">
        <x:v>prob</x:v>
      </x:c>
      <x:c r="I7" s="39" t="n">
        <x:v>1</x:v>
      </x:c>
      <x:c r="J7" s="40" t="n">
        <x:v>0.9698380941836109</x:v>
      </x:c>
      <x:c r="K7" s="40" t="n">
        <x:v>0.9771493858897458</x:v>
      </x:c>
      <x:c r="L7" s="41" t="n">
        <x:v>0.1038055720536991</x:v>
      </x:c>
      <x:c r="M7" s="41" t="n">
        <x:v>0.1815890148680995</x:v>
      </x:c>
      <x:c r="N7" s="42" t="n">
        <x:v>8.536347499784824</x:v>
      </x:c>
      <x:c r="O7" s="42" t="n">
        <x:v>9.068122750227303</x:v>
      </x:c>
      <x:c r="P7" s="42" t="n">
        <x:v>9.182092810183349</x:v>
      </x:c>
      <x:c r="Q7" s="43" t="n">
        <x:f>IF(AND(ISNUMBER(N7),ISNUMBER($N$2),$N$2&gt;0),N7/$N$2,"")</x:f>
        <x:v>1.044728621770165</x:v>
      </x:c>
      <x:c r="R7" s="44" t="n">
        <x:v>168.27520588905628</x:v>
      </x:c>
      <x:c r="S7" s="7" t="str">
        <x:f>IF(ISNUMBER(O7),IF(O7&lt;=100,"Đạt","Không đạt"),"Chờ đo")</x:f>
        <x:v>Đạt</x:v>
      </x:c>
      <x:c r="T7" s="12" t="str">
        <x:v>Đủ kết quả</x:v>
      </x:c>
      <x:c r="U7" s="7" t="str">
        <x:v>predictions/I09_seed0_val.csv</x:v>
      </x:c>
    </x:row>
    <x:row r="8" ht="36" customHeight="1">
      <x:c r="A8" s="7" t="str">
        <x:v>I10</x:v>
      </x:c>
      <x:c r="B8" s="12" t="str">
        <x:v>Resolution 320</x:v>
      </x:c>
      <x:c r="C8" s="7" t="str">
        <x:v>runs/T05/seed0/best.pt</x:v>
      </x:c>
      <x:c r="D8" s="7" t="n">
        <x:v>1</x:v>
      </x:c>
      <x:c r="E8" s="7" t="n">
        <x:v>320</x:v>
      </x:c>
      <x:c r="F8" s="7" t="n">
        <x:v>320</x:v>
      </x:c>
      <x:c r="G8" s="7" t="str">
        <x:v>fp32</x:v>
      </x:c>
      <x:c r="H8" s="7" t="str">
        <x:v>prob</x:v>
      </x:c>
      <x:c r="I8" s="39" t="n">
        <x:v>1</x:v>
      </x:c>
      <x:c r="J8" s="40" t="n">
        <x:v>0.968106255766696</x:v>
      </x:c>
      <x:c r="K8" s="40" t="n">
        <x:v>0.9762924878606113</x:v>
      </x:c>
      <x:c r="L8" s="41" t="n">
        <x:v>0.11564186553556126</x:v>
      </x:c>
      <x:c r="M8" s="41" t="n">
        <x:v>0.19462154942053786</x:v>
      </x:c>
      <x:c r="N8" s="42" t="n">
        <x:v>8.566771000005247</x:v>
      </x:c>
      <x:c r="O8" s="42" t="n">
        <x:v>9.153301400033342</x:v>
      </x:c>
      <x:c r="P8" s="42" t="n">
        <x:v>9.224600080315213</x:v>
      </x:c>
      <x:c r="Q8" s="43" t="n">
        <x:f>IF(AND(ISNUMBER(N8),ISNUMBER($N$2),$N$2&gt;0),N8/$N$2,"")</x:f>
        <x:v>1.0484520294050472</x:v>
      </x:c>
      <x:c r="R8" s="44" t="n">
        <x:v>141.12256767170206</x:v>
      </x:c>
      <x:c r="S8" s="7" t="str">
        <x:f>IF(ISNUMBER(O8),IF(O8&lt;=100,"Đạt","Không đạt"),"Chờ đo")</x:f>
        <x:v>Đạt</x:v>
      </x:c>
      <x:c r="T8" s="12" t="str">
        <x:v>Đủ kết quả</x:v>
      </x:c>
      <x:c r="U8" s="7" t="str">
        <x:v>predictions/I10_seed0_val.csv</x:v>
      </x:c>
    </x:row>
    <x:row r="9" ht="36" customHeight="1">
      <x:c r="A9" s="7" t="str">
        <x:v>I07</x:v>
      </x:c>
      <x:c r="B9" s="12" t="str">
        <x:v>1 view + temperature</x:v>
      </x:c>
      <x:c r="C9" s="7" t="str">
        <x:v>runs/T05/seed0/best.pt</x:v>
      </x:c>
      <x:c r="D9" s="7" t="n">
        <x:v>1</x:v>
      </x:c>
      <x:c r="E9" s="7" t="n">
        <x:v>224</x:v>
      </x:c>
      <x:c r="F9" s="7" t="n">
        <x:v>224</x:v>
      </x:c>
      <x:c r="G9" s="7" t="str">
        <x:v>fp32</x:v>
      </x:c>
      <x:c r="H9" s="7" t="str">
        <x:v>prob</x:v>
      </x:c>
      <x:c r="I9" s="39" t="n">
        <x:v>0.6106658951607421</x:v>
      </x:c>
      <x:c r="J9" s="40" t="n">
        <x:v>0.9641032435221208</x:v>
      </x:c>
      <x:c r="K9" s="40" t="n">
        <x:v>0.9737217937732077</x:v>
      </x:c>
      <x:c r="L9" s="41" t="n">
        <x:v>0.004736394133104849</x:v>
      </x:c>
      <x:c r="M9" s="41" t="n">
        <x:v>0.1060759472757501</x:v>
      </x:c>
      <x:c r="N9" s="42" t="n">
        <x:v>5.06399899995813</x:v>
      </x:c>
      <x:c r="O9" s="42" t="n">
        <x:v>7.490706349949504</x:v>
      </x:c>
      <x:c r="P9" s="42" t="n">
        <x:v>8.596570879622051</x:v>
      </x:c>
      <x:c r="Q9" s="43" t="n">
        <x:f>IF(AND(ISNUMBER(N9),ISNUMBER($N$2),$N$2&gt;0),N9/$N$2,"")</x:f>
        <x:v>0.6197621050461112</x:v>
      </x:c>
      <x:c r="R9" s="44" t="n">
        <x:v>280.69908767079124</x:v>
      </x:c>
      <x:c r="S9" s="7" t="str">
        <x:f>IF(ISNUMBER(O9),IF(O9&lt;=100,"Đạt","Không đạt"),"Chờ đo")</x:f>
        <x:v>Đạt</x:v>
      </x:c>
      <x:c r="T9" s="12" t="str">
        <x:v>Đủ kết quả</x:v>
      </x:c>
      <x:c r="U9" s="7" t="str">
        <x:v>predictions/I07_seed0_val.csv</x:v>
      </x:c>
    </x:row>
    <x:row r="10" ht="36" customHeight="1">
      <x:c r="A10" s="7" t="str">
        <x:v>I08</x:v>
      </x:c>
      <x:c r="B10" s="12" t="str">
        <x:v>1 view AMP FP16</x:v>
      </x:c>
      <x:c r="C10" s="7" t="str">
        <x:v>runs/T05/seed0/best.pt</x:v>
      </x:c>
      <x:c r="D10" s="7" t="n">
        <x:v>1</x:v>
      </x:c>
      <x:c r="E10" s="7" t="n">
        <x:v>224</x:v>
      </x:c>
      <x:c r="F10" s="7" t="n">
        <x:v>224</x:v>
      </x:c>
      <x:c r="G10" s="7" t="str">
        <x:v>amp</x:v>
      </x:c>
      <x:c r="H10" s="7" t="str">
        <x:v>prob</x:v>
      </x:c>
      <x:c r="I10" s="39" t="n">
        <x:v>1</x:v>
      </x:c>
      <x:c r="J10" s="40" t="n">
        <x:v>0.9641032435221208</x:v>
      </x:c>
      <x:c r="K10" s="40" t="n">
        <x:v>0.9737217937732077</x:v>
      </x:c>
      <x:c r="L10" s="41" t="n">
        <x:v>0.09613235726078252</x:v>
      </x:c>
      <x:c r="M10" s="41" t="n">
        <x:v>0.18524799340559084</x:v>
      </x:c>
      <x:c r="N10" s="42" t="n">
        <x:v>7.083049499897243</x:v>
      </x:c>
      <x:c r="O10" s="42" t="n">
        <x:v>10.559240600014162</x:v>
      </x:c>
      <x:c r="P10" s="42" t="n">
        <x:v>11.857329199942797</x:v>
      </x:c>
      <x:c r="Q10" s="43" t="n">
        <x:f>IF(AND(ISNUMBER(N10),ISNUMBER($N$2),$N$2&gt;0),N10/$N$2,"")</x:f>
        <x:v>0.8668654295228763</x:v>
      </x:c>
      <x:c r="R10" s="44" t="n">
        <x:v>720.9511613921644</x:v>
      </x:c>
      <x:c r="S10" s="7" t="str">
        <x:f>IF(ISNUMBER(O10),IF(O10&lt;=100,"Đạt","Không đạt"),"Chờ đo")</x:f>
        <x:v>Đạt</x:v>
      </x:c>
      <x:c r="T10" s="12" t="str">
        <x:v>Đủ kết quả</x:v>
      </x:c>
      <x:c r="U10" s="7" t="str">
        <x:v>predictions/I08_seed0_val.csv</x:v>
      </x:c>
    </x:row>
    <x:row r="13">
      <x:c r="A13" t="str">
        <x:v>T05, seed 0; chỉ val. Chọn sau khi đủ dự đoán và latency thật trên T4.</x:v>
      </x:c>
    </x:row>
    <x:row r="14">
      <x:c r="A14" t="str">
        <x:v>10 warmup + 100 lần đo; synchronize trước/sau. Input sẵn trên GPU; gồm TTA/model/softmax/T.</x:v>
      </x:c>
    </x:row>
    <x:row r="15">
      <x:c r="A15" t="str">
        <x:v>Không gồm decode/PIL/H2D/D2H. p95≤100 ms là ngưỡng pipeline GPU; chưa phải toàn bộ camera/robot.</x:v>
      </x:c>
    </x:row>
  </x:sheetData>
  <x:mergeCells>
    <x:mergeCell ref="A13:G13"/>
    <x:mergeCell ref="A14:G14"/>
    <x:mergeCell ref="A15:G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8.1299991607666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56.25" hidden="0" customWidth="1"/>
    <x:col min="21" max="21" width="41.880001068115234" hidden="0" customWidth="1"/>
  </x:cols>
  <x:sheetData>
    <x:row r="1" ht="45" customHeight="1">
      <x:c r="A1" s="48" t="str">
        <x:v>exp_id</x:v>
      </x:c>
      <x:c r="B1" s="48" t="str">
        <x:v>Phương pháp</x:v>
      </x:c>
      <x:c r="C1" s="48" t="str">
        <x:v>gpu</x:v>
      </x:c>
      <x:c r="D1" s="48" t="str">
        <x:v>dtype</x:v>
      </x:c>
      <x:c r="E1" s="48" t="str">
        <x:v>batch</x:v>
      </x:c>
      <x:c r="F1" s="48" t="str">
        <x:v>Crop size</x:v>
      </x:c>
      <x:c r="G1" s="48" t="str">
        <x:v>Input size</x:v>
      </x:c>
      <x:c r="H1" s="48" t="str">
        <x:v>K</x:v>
      </x:c>
      <x:c r="I1" s="48" t="str">
        <x:v>fused_bn</x:v>
      </x:c>
      <x:c r="J1" s="48" t="str">
        <x:v>p50 (ms)</x:v>
      </x:c>
      <x:c r="K1" s="48" t="str">
        <x:v>p95 (ms)</x:v>
      </x:c>
      <x:c r="L1" s="48" t="str">
        <x:v>p99 (ms)</x:v>
      </x:c>
      <x:c r="M1" s="48" t="str">
        <x:v>Mean (ms)</x:v>
      </x:c>
      <x:c r="N1" s="48" t="str">
        <x:v>Ảnh/s</x:v>
      </x:c>
      <x:c r="O1" s="48" t="str">
        <x:v>warmup</x:v>
      </x:c>
      <x:c r="P1" s="48" t="str">
        <x:v>Lần đo</x:v>
      </x:c>
      <x:c r="Q1" s="48" t="str">
        <x:v>torch</x:v>
      </x:c>
      <x:c r="R1" s="48" t="str">
        <x:v>Gồm tiền xử lý</x:v>
      </x:c>
      <x:c r="S1" s="48" t="str">
        <x:v>Gồm transfer</x:v>
      </x:c>
      <x:c r="T1" s="48" t="str">
        <x:v>Phạm vi đo</x:v>
      </x:c>
      <x:c r="U1" s="48" t="str">
        <x:v>Nguồn số đo</x:v>
      </x:c>
    </x:row>
    <x:row r="2" ht="36" customHeight="1">
      <x:c r="A2" s="7" t="str">
        <x:v>I00</x:v>
      </x:c>
      <x:c r="B2" s="12" t="str">
        <x:v>1 view FP32</x:v>
      </x:c>
      <x:c r="C2" s="7" t="str">
        <x:v>Tesla T4</x:v>
      </x:c>
      <x:c r="D2" s="7" t="str">
        <x:v>fp32</x:v>
      </x:c>
      <x:c r="E2" s="7" t="n">
        <x:v>1</x:v>
      </x:c>
      <x:c r="F2" s="7" t="n">
        <x:v>224</x:v>
      </x:c>
      <x:c r="G2" s="7" t="n">
        <x:v>224</x:v>
      </x:c>
      <x:c r="H2" s="7" t="n">
        <x:v>1</x:v>
      </x:c>
      <x:c r="I2" s="51" t="b">
        <x:v>0</x:v>
      </x:c>
      <x:c r="J2" s="42" t="n">
        <x:v>8.170875500013608</x:v>
      </x:c>
      <x:c r="K2" s="42" t="n">
        <x:v>9.390229150073992</x:v>
      </x:c>
      <x:c r="L2" s="42" t="n">
        <x:v>9.759574999982307</x:v>
      </x:c>
      <x:c r="M2" s="42" t="n">
        <x:v>8.15660145000038</x:v>
      </x:c>
      <x:c r="N2" s="44" t="n">
        <x:v>122.60008118944604</x:v>
      </x:c>
      <x:c r="O2" s="7" t="n">
        <x:v>10</x:v>
      </x:c>
      <x:c r="P2" s="7" t="n">
        <x:v>100</x:v>
      </x:c>
      <x:c r="Q2" s="7" t="str">
        <x:v>2.8.0+cu128</x:v>
      </x:c>
      <x:c r="R2" s="51" t="b">
        <x:v>0</x:v>
      </x:c>
      <x:c r="S2" s="51" t="b">
        <x:v>0</x:v>
      </x:c>
      <x:c r="T2" s="12" t="str">
        <x:v>normalized GPU input; tensor TTA + model + softmax/aggregation/T</x:v>
      </x:c>
      <x:c r="U2" s="7" t="str">
        <x:v>step3/I00/latency_batch1.json</x:v>
      </x:c>
    </x:row>
    <x:row r="3" ht="36" customHeight="1">
      <x:c r="A3" s="7" t="str">
        <x:v>I00</x:v>
      </x:c>
      <x:c r="B3" s="12" t="str">
        <x:v>1 view FP32</x:v>
      </x:c>
      <x:c r="C3" s="7" t="str">
        <x:v>Tesla T4</x:v>
      </x:c>
      <x:c r="D3" s="7" t="str">
        <x:v>fp32</x:v>
      </x:c>
      <x:c r="E3" s="7" t="n">
        <x:v>32</x:v>
      </x:c>
      <x:c r="F3" s="7" t="n">
        <x:v>224</x:v>
      </x:c>
      <x:c r="G3" s="7" t="n">
        <x:v>224</x:v>
      </x:c>
      <x:c r="H3" s="7" t="n">
        <x:v>1</x:v>
      </x:c>
      <x:c r="I3" s="51" t="b">
        <x:v>0</x:v>
      </x:c>
      <x:c r="J3" s="42" t="n">
        <x:v>111.22459650005112</x:v>
      </x:c>
      <x:c r="K3" s="42" t="n">
        <x:v>112.0663408500377</x:v>
      </x:c>
      <x:c r="L3" s="42" t="n">
        <x:v>112.45865352001147</x:v>
      </x:c>
      <x:c r="M3" s="42" t="n">
        <x:v>111.14171505998456</x:v>
      </x:c>
      <x:c r="N3" s="44" t="n">
        <x:v>287.92069640754784</x:v>
      </x:c>
      <x:c r="O3" s="7" t="n">
        <x:v>10</x:v>
      </x:c>
      <x:c r="P3" s="7" t="n">
        <x:v>100</x:v>
      </x:c>
      <x:c r="Q3" s="7" t="str">
        <x:v>2.8.0+cu128</x:v>
      </x:c>
      <x:c r="R3" s="51" t="b">
        <x:v>0</x:v>
      </x:c>
      <x:c r="S3" s="51" t="b">
        <x:v>0</x:v>
      </x:c>
      <x:c r="T3" s="12" t="str">
        <x:v>normalized GPU input; tensor TTA + model + softmax/aggregation/T</x:v>
      </x:c>
      <x:c r="U3" s="7" t="str">
        <x:v>step3/I00/latency_batch32.json</x:v>
      </x:c>
    </x:row>
    <x:row r="4" ht="36" customHeight="1">
      <x:c r="A4" s="7" t="str">
        <x:v>I01</x:v>
      </x:c>
      <x:c r="B4" s="12" t="str">
        <x:v>Hflip TTA / probability</x:v>
      </x:c>
      <x:c r="C4" s="7" t="str">
        <x:v>Tesla T4</x:v>
      </x:c>
      <x:c r="D4" s="7" t="str">
        <x:v>fp32</x:v>
      </x:c>
      <x:c r="E4" s="7" t="n">
        <x:v>1</x:v>
      </x:c>
      <x:c r="F4" s="7" t="n">
        <x:v>224</x:v>
      </x:c>
      <x:c r="G4" s="7" t="n">
        <x:v>224</x:v>
      </x:c>
      <x:c r="H4" s="7" t="n">
        <x:v>2</x:v>
      </x:c>
      <x:c r="I4" s="51" t="b">
        <x:v>0</x:v>
      </x:c>
      <x:c r="J4" s="42" t="n">
        <x:v>15.592512500006706</x:v>
      </x:c>
      <x:c r="K4" s="42" t="n">
        <x:v>18.862193050108544</x:v>
      </x:c>
      <x:c r="L4" s="42" t="n">
        <x:v>20.782552349951416</x:v>
      </x:c>
      <x:c r="M4" s="42" t="n">
        <x:v>15.899964079999336</x:v>
      </x:c>
      <x:c r="N4" s="44" t="n">
        <x:v>62.89322384431712</x:v>
      </x:c>
      <x:c r="O4" s="7" t="n">
        <x:v>10</x:v>
      </x:c>
      <x:c r="P4" s="7" t="n">
        <x:v>100</x:v>
      </x:c>
      <x:c r="Q4" s="7" t="str">
        <x:v>2.8.0+cu128</x:v>
      </x:c>
      <x:c r="R4" s="51" t="b">
        <x:v>0</x:v>
      </x:c>
      <x:c r="S4" s="51" t="b">
        <x:v>0</x:v>
      </x:c>
      <x:c r="T4" s="12" t="str">
        <x:v>normalized GPU input; tensor TTA + model + softmax/aggregation/T</x:v>
      </x:c>
      <x:c r="U4" s="7" t="str">
        <x:v>step3/I01/latency_batch1.json</x:v>
      </x:c>
    </x:row>
    <x:row r="5" ht="36" customHeight="1">
      <x:c r="A5" s="7" t="str">
        <x:v>I01</x:v>
      </x:c>
      <x:c r="B5" s="12" t="str">
        <x:v>Hflip TTA / probability</x:v>
      </x:c>
      <x:c r="C5" s="7" t="str">
        <x:v>Tesla T4</x:v>
      </x:c>
      <x:c r="D5" s="7" t="str">
        <x:v>fp32</x:v>
      </x:c>
      <x:c r="E5" s="7" t="n">
        <x:v>32</x:v>
      </x:c>
      <x:c r="F5" s="7" t="n">
        <x:v>224</x:v>
      </x:c>
      <x:c r="G5" s="7" t="n">
        <x:v>224</x:v>
      </x:c>
      <x:c r="H5" s="7" t="n">
        <x:v>2</x:v>
      </x:c>
      <x:c r="I5" s="51" t="b">
        <x:v>0</x:v>
      </x:c>
      <x:c r="J5" s="42" t="n">
        <x:v>225.82709200003137</x:v>
      </x:c>
      <x:c r="K5" s="42" t="n">
        <x:v>227.34254434993773</x:v>
      </x:c>
      <x:c r="L5" s="42" t="n">
        <x:v>227.93199235995644</x:v>
      </x:c>
      <x:c r="M5" s="42" t="n">
        <x:v>225.83653031000037</x:v>
      </x:c>
      <x:c r="N5" s="44" t="n">
        <x:v>141.69541108373554</x:v>
      </x:c>
      <x:c r="O5" s="7" t="n">
        <x:v>10</x:v>
      </x:c>
      <x:c r="P5" s="7" t="n">
        <x:v>100</x:v>
      </x:c>
      <x:c r="Q5" s="7" t="str">
        <x:v>2.8.0+cu128</x:v>
      </x:c>
      <x:c r="R5" s="51" t="b">
        <x:v>0</x:v>
      </x:c>
      <x:c r="S5" s="51" t="b">
        <x:v>0</x:v>
      </x:c>
      <x:c r="T5" s="12" t="str">
        <x:v>normalized GPU input; tensor TTA + model + softmax/aggregation/T</x:v>
      </x:c>
      <x:c r="U5" s="7" t="str">
        <x:v>step3/I01/latency_batch32.json</x:v>
      </x:c>
    </x:row>
    <x:row r="6" ht="36" customHeight="1">
      <x:c r="A6" s="7" t="str">
        <x:v>I02</x:v>
      </x:c>
      <x:c r="B6" s="12" t="str">
        <x:v>5 crops / probability</x:v>
      </x:c>
      <x:c r="C6" s="7" t="str">
        <x:v>Tesla T4</x:v>
      </x:c>
      <x:c r="D6" s="7" t="str">
        <x:v>fp32</x:v>
      </x:c>
      <x:c r="E6" s="7" t="n">
        <x:v>1</x:v>
      </x:c>
      <x:c r="F6" s="7" t="n">
        <x:v>224</x:v>
      </x:c>
      <x:c r="G6" s="7" t="n">
        <x:v>256</x:v>
      </x:c>
      <x:c r="H6" s="7" t="n">
        <x:v>5</x:v>
      </x:c>
      <x:c r="I6" s="51" t="b">
        <x:v>0</x:v>
      </x:c>
      <x:c r="J6" s="42" t="n">
        <x:v>25.5043319999686</x:v>
      </x:c>
      <x:c r="K6" s="42" t="n">
        <x:v>42.252744699828774</x:v>
      </x:c>
      <x:c r="L6" s="42" t="n">
        <x:v>44.45592407001868</x:v>
      </x:c>
      <x:c r="M6" s="42" t="n">
        <x:v>29.357443929995952</x:v>
      </x:c>
      <x:c r="N6" s="44" t="n">
        <x:v>34.062911007666116</x:v>
      </x:c>
      <x:c r="O6" s="7" t="n">
        <x:v>10</x:v>
      </x:c>
      <x:c r="P6" s="7" t="n">
        <x:v>100</x:v>
      </x:c>
      <x:c r="Q6" s="7" t="str">
        <x:v>2.8.0+cu128</x:v>
      </x:c>
      <x:c r="R6" s="51" t="b">
        <x:v>0</x:v>
      </x:c>
      <x:c r="S6" s="51" t="b">
        <x:v>0</x:v>
      </x:c>
      <x:c r="T6" s="12" t="str">
        <x:v>normalized GPU input; tensor TTA + model + softmax/aggregation/T</x:v>
      </x:c>
      <x:c r="U6" s="7" t="str">
        <x:v>step3/I02/latency_batch1.json</x:v>
      </x:c>
    </x:row>
    <x:row r="7" ht="36" customHeight="1">
      <x:c r="A7" s="7" t="str">
        <x:v>I02</x:v>
      </x:c>
      <x:c r="B7" s="12" t="str">
        <x:v>5 crops / probability</x:v>
      </x:c>
      <x:c r="C7" s="7" t="str">
        <x:v>Tesla T4</x:v>
      </x:c>
      <x:c r="D7" s="7" t="str">
        <x:v>fp32</x:v>
      </x:c>
      <x:c r="E7" s="7" t="n">
        <x:v>32</x:v>
      </x:c>
      <x:c r="F7" s="7" t="n">
        <x:v>224</x:v>
      </x:c>
      <x:c r="G7" s="7" t="n">
        <x:v>256</x:v>
      </x:c>
      <x:c r="H7" s="7" t="n">
        <x:v>5</x:v>
      </x:c>
      <x:c r="I7" s="51" t="b">
        <x:v>0</x:v>
      </x:c>
      <x:c r="J7" s="42" t="n">
        <x:v>571.2320369998451</x:v>
      </x:c>
      <x:c r="K7" s="42" t="n">
        <x:v>573.4608021998611</x:v>
      </x:c>
      <x:c r="L7" s="42" t="n">
        <x:v>573.6716340500766</x:v>
      </x:c>
      <x:c r="M7" s="42" t="n">
        <x:v>571.2415896500191</x:v>
      </x:c>
      <x:c r="N7" s="44" t="n">
        <x:v>56.018330212275586</x:v>
      </x:c>
      <x:c r="O7" s="7" t="n">
        <x:v>10</x:v>
      </x:c>
      <x:c r="P7" s="7" t="n">
        <x:v>100</x:v>
      </x:c>
      <x:c r="Q7" s="7" t="str">
        <x:v>2.8.0+cu128</x:v>
      </x:c>
      <x:c r="R7" s="51" t="b">
        <x:v>0</x:v>
      </x:c>
      <x:c r="S7" s="51" t="b">
        <x:v>0</x:v>
      </x:c>
      <x:c r="T7" s="12" t="str">
        <x:v>normalized GPU input; tensor TTA + model + softmax/aggregation/T</x:v>
      </x:c>
      <x:c r="U7" s="7" t="str">
        <x:v>step3/I02/latency_batch32.json</x:v>
      </x:c>
    </x:row>
    <x:row r="8" ht="36" customHeight="1">
      <x:c r="A8" s="7" t="str">
        <x:v>I03</x:v>
      </x:c>
      <x:c r="B8" s="12" t="str">
        <x:v>Hflip TTA / logits</x:v>
      </x:c>
      <x:c r="C8" s="7" t="str">
        <x:v>Tesla T4</x:v>
      </x:c>
      <x:c r="D8" s="7" t="str">
        <x:v>fp32</x:v>
      </x:c>
      <x:c r="E8" s="7" t="n">
        <x:v>1</x:v>
      </x:c>
      <x:c r="F8" s="7" t="n">
        <x:v>224</x:v>
      </x:c>
      <x:c r="G8" s="7" t="n">
        <x:v>224</x:v>
      </x:c>
      <x:c r="H8" s="7" t="n">
        <x:v>2</x:v>
      </x:c>
      <x:c r="I8" s="51" t="b">
        <x:v>0</x:v>
      </x:c>
      <x:c r="J8" s="42" t="n">
        <x:v>14.315858999907505</x:v>
      </x:c>
      <x:c r="K8" s="42" t="n">
        <x:v>16.35914885002876</x:v>
      </x:c>
      <x:c r="L8" s="42" t="n">
        <x:v>17.28591950009104</x:v>
      </x:c>
      <x:c r="M8" s="42" t="n">
        <x:v>13.603611519984042</x:v>
      </x:c>
      <x:c r="N8" s="44" t="n">
        <x:v>73.50989099703231</x:v>
      </x:c>
      <x:c r="O8" s="7" t="n">
        <x:v>10</x:v>
      </x:c>
      <x:c r="P8" s="7" t="n">
        <x:v>100</x:v>
      </x:c>
      <x:c r="Q8" s="7" t="str">
        <x:v>2.8.0+cu128</x:v>
      </x:c>
      <x:c r="R8" s="51" t="b">
        <x:v>0</x:v>
      </x:c>
      <x:c r="S8" s="51" t="b">
        <x:v>0</x:v>
      </x:c>
      <x:c r="T8" s="12" t="str">
        <x:v>normalized GPU input; tensor TTA + model + softmax/aggregation/T</x:v>
      </x:c>
      <x:c r="U8" s="7" t="str">
        <x:v>step3/I03/latency_batch1.json</x:v>
      </x:c>
    </x:row>
    <x:row r="9" ht="36" customHeight="1">
      <x:c r="A9" s="7" t="str">
        <x:v>I03</x:v>
      </x:c>
      <x:c r="B9" s="12" t="str">
        <x:v>Hflip TTA / logits</x:v>
      </x:c>
      <x:c r="C9" s="7" t="str">
        <x:v>Tesla T4</x:v>
      </x:c>
      <x:c r="D9" s="7" t="str">
        <x:v>fp32</x:v>
      </x:c>
      <x:c r="E9" s="7" t="n">
        <x:v>32</x:v>
      </x:c>
      <x:c r="F9" s="7" t="n">
        <x:v>224</x:v>
      </x:c>
      <x:c r="G9" s="7" t="n">
        <x:v>224</x:v>
      </x:c>
      <x:c r="H9" s="7" t="n">
        <x:v>2</x:v>
      </x:c>
      <x:c r="I9" s="51" t="b">
        <x:v>0</x:v>
      </x:c>
      <x:c r="J9" s="42" t="n">
        <x:v>228.59176900010425</x:v>
      </x:c>
      <x:c r="K9" s="42" t="n">
        <x:v>230.371583150054</x:v>
      </x:c>
      <x:c r="L9" s="42" t="n">
        <x:v>230.73990807982227</x:v>
      </x:c>
      <x:c r="M9" s="42" t="n">
        <x:v>228.57000725001853</x:v>
      </x:c>
      <x:c r="N9" s="44" t="n">
        <x:v>140.00087056477707</x:v>
      </x:c>
      <x:c r="O9" s="7" t="n">
        <x:v>10</x:v>
      </x:c>
      <x:c r="P9" s="7" t="n">
        <x:v>100</x:v>
      </x:c>
      <x:c r="Q9" s="7" t="str">
        <x:v>2.8.0+cu128</x:v>
      </x:c>
      <x:c r="R9" s="51" t="b">
        <x:v>0</x:v>
      </x:c>
      <x:c r="S9" s="51" t="b">
        <x:v>0</x:v>
      </x:c>
      <x:c r="T9" s="12" t="str">
        <x:v>normalized GPU input; tensor TTA + model + softmax/aggregation/T</x:v>
      </x:c>
      <x:c r="U9" s="7" t="str">
        <x:v>step3/I03/latency_batch32.json</x:v>
      </x:c>
    </x:row>
    <x:row r="10" ht="36" customHeight="1">
      <x:c r="A10" s="7" t="str">
        <x:v>I04</x:v>
      </x:c>
      <x:c r="B10" s="12" t="str">
        <x:v>Resolution 256</x:v>
      </x:c>
      <x:c r="C10" s="7" t="str">
        <x:v>Tesla T4</x:v>
      </x:c>
      <x:c r="D10" s="7" t="str">
        <x:v>fp32</x:v>
      </x:c>
      <x:c r="E10" s="7" t="n">
        <x:v>1</x:v>
      </x:c>
      <x:c r="F10" s="7" t="n">
        <x:v>256</x:v>
      </x:c>
      <x:c r="G10" s="7" t="n">
        <x:v>256</x:v>
      </x:c>
      <x:c r="H10" s="7" t="n">
        <x:v>1</x:v>
      </x:c>
      <x:c r="I10" s="51" t="b">
        <x:v>0</x:v>
      </x:c>
      <x:c r="J10" s="42" t="n">
        <x:v>5.762696499687081</x:v>
      </x:c>
      <x:c r="K10" s="42" t="n">
        <x:v>9.138116349868142</x:v>
      </x:c>
      <x:c r="L10" s="42" t="n">
        <x:v>9.336611160060794</x:v>
      </x:c>
      <x:c r="M10" s="42" t="n">
        <x:v>6.896288039979481</x:v>
      </x:c>
      <x:c r="N10" s="44" t="n">
        <x:v>145.0055441714084</x:v>
      </x:c>
      <x:c r="O10" s="7" t="n">
        <x:v>10</x:v>
      </x:c>
      <x:c r="P10" s="7" t="n">
        <x:v>100</x:v>
      </x:c>
      <x:c r="Q10" s="7" t="str">
        <x:v>2.8.0+cu128</x:v>
      </x:c>
      <x:c r="R10" s="51" t="b">
        <x:v>0</x:v>
      </x:c>
      <x:c r="S10" s="51" t="b">
        <x:v>0</x:v>
      </x:c>
      <x:c r="T10" s="12" t="str">
        <x:v>normalized GPU input; tensor TTA + model + softmax/aggregation/T</x:v>
      </x:c>
      <x:c r="U10" s="7" t="str">
        <x:v>step3/I04/latency_batch1.json</x:v>
      </x:c>
    </x:row>
    <x:row r="11" ht="36" customHeight="1">
      <x:c r="A11" s="7" t="str">
        <x:v>I04</x:v>
      </x:c>
      <x:c r="B11" s="12" t="str">
        <x:v>Resolution 256</x:v>
      </x:c>
      <x:c r="C11" s="7" t="str">
        <x:v>Tesla T4</x:v>
      </x:c>
      <x:c r="D11" s="7" t="str">
        <x:v>fp32</x:v>
      </x:c>
      <x:c r="E11" s="7" t="n">
        <x:v>32</x:v>
      </x:c>
      <x:c r="F11" s="7" t="n">
        <x:v>256</x:v>
      </x:c>
      <x:c r="G11" s="7" t="n">
        <x:v>256</x:v>
      </x:c>
      <x:c r="H11" s="7" t="n">
        <x:v>1</x:v>
      </x:c>
      <x:c r="I11" s="51" t="b">
        <x:v>0</x:v>
      </x:c>
      <x:c r="J11" s="42" t="n">
        <x:v>145.80802249975022</x:v>
      </x:c>
      <x:c r="K11" s="42" t="n">
        <x:v>147.3497600499968</x:v>
      </x:c>
      <x:c r="L11" s="42" t="n">
        <x:v>148.0081490100656</x:v>
      </x:c>
      <x:c r="M11" s="42" t="n">
        <x:v>145.81512899998415</x:v>
      </x:c>
      <x:c r="N11" s="44" t="n">
        <x:v>219.4559660541361</x:v>
      </x:c>
      <x:c r="O11" s="7" t="n">
        <x:v>10</x:v>
      </x:c>
      <x:c r="P11" s="7" t="n">
        <x:v>100</x:v>
      </x:c>
      <x:c r="Q11" s="7" t="str">
        <x:v>2.8.0+cu128</x:v>
      </x:c>
      <x:c r="R11" s="51" t="b">
        <x:v>0</x:v>
      </x:c>
      <x:c r="S11" s="51" t="b">
        <x:v>0</x:v>
      </x:c>
      <x:c r="T11" s="12" t="str">
        <x:v>normalized GPU input; tensor TTA + model + softmax/aggregation/T</x:v>
      </x:c>
      <x:c r="U11" s="7" t="str">
        <x:v>step3/I04/latency_batch32.json</x:v>
      </x:c>
    </x:row>
    <x:row r="12" ht="36" customHeight="1">
      <x:c r="A12" s="7" t="str">
        <x:v>I09</x:v>
      </x:c>
      <x:c r="B12" s="12" t="str">
        <x:v>Resolution 288</x:v>
      </x:c>
      <x:c r="C12" s="7" t="str">
        <x:v>Tesla T4</x:v>
      </x:c>
      <x:c r="D12" s="7" t="str">
        <x:v>fp32</x:v>
      </x:c>
      <x:c r="E12" s="7" t="n">
        <x:v>1</x:v>
      </x:c>
      <x:c r="F12" s="7" t="n">
        <x:v>288</x:v>
      </x:c>
      <x:c r="G12" s="7" t="n">
        <x:v>288</x:v>
      </x:c>
      <x:c r="H12" s="7" t="n">
        <x:v>1</x:v>
      </x:c>
      <x:c r="I12" s="51" t="b">
        <x:v>0</x:v>
      </x:c>
      <x:c r="J12" s="42" t="n">
        <x:v>8.536347499784824</x:v>
      </x:c>
      <x:c r="K12" s="42" t="n">
        <x:v>9.068122750227303</x:v>
      </x:c>
      <x:c r="L12" s="42" t="n">
        <x:v>9.182092810183349</x:v>
      </x:c>
      <x:c r="M12" s="42" t="n">
        <x:v>7.908351769988258</x:v>
      </x:c>
      <x:c r="N12" s="44" t="n">
        <x:v>126.44859878324365</x:v>
      </x:c>
      <x:c r="O12" s="7" t="n">
        <x:v>10</x:v>
      </x:c>
      <x:c r="P12" s="7" t="n">
        <x:v>100</x:v>
      </x:c>
      <x:c r="Q12" s="7" t="str">
        <x:v>2.8.0+cu128</x:v>
      </x:c>
      <x:c r="R12" s="51" t="b">
        <x:v>0</x:v>
      </x:c>
      <x:c r="S12" s="51" t="b">
        <x:v>0</x:v>
      </x:c>
      <x:c r="T12" s="12" t="str">
        <x:v>normalized GPU input; tensor TTA + model + softmax/aggregation/T</x:v>
      </x:c>
      <x:c r="U12" s="7" t="str">
        <x:v>step3/I09/latency_batch1.json</x:v>
      </x:c>
    </x:row>
    <x:row r="13" ht="36" customHeight="1">
      <x:c r="A13" s="7" t="str">
        <x:v>I09</x:v>
      </x:c>
      <x:c r="B13" s="12" t="str">
        <x:v>Resolution 288</x:v>
      </x:c>
      <x:c r="C13" s="7" t="str">
        <x:v>Tesla T4</x:v>
      </x:c>
      <x:c r="D13" s="7" t="str">
        <x:v>fp32</x:v>
      </x:c>
      <x:c r="E13" s="7" t="n">
        <x:v>32</x:v>
      </x:c>
      <x:c r="F13" s="7" t="n">
        <x:v>288</x:v>
      </x:c>
      <x:c r="G13" s="7" t="n">
        <x:v>288</x:v>
      </x:c>
      <x:c r="H13" s="7" t="n">
        <x:v>1</x:v>
      </x:c>
      <x:c r="I13" s="51" t="b">
        <x:v>0</x:v>
      </x:c>
      <x:c r="J13" s="42" t="n">
        <x:v>190.2043625002534</x:v>
      </x:c>
      <x:c r="K13" s="42" t="n">
        <x:v>192.74151690005965</x:v>
      </x:c>
      <x:c r="L13" s="42" t="n">
        <x:v>193.54442563013436</x:v>
      </x:c>
      <x:c r="M13" s="42" t="n">
        <x:v>190.16467596003167</x:v>
      </x:c>
      <x:c r="N13" s="44" t="n">
        <x:v>168.27520588905628</x:v>
      </x:c>
      <x:c r="O13" s="7" t="n">
        <x:v>10</x:v>
      </x:c>
      <x:c r="P13" s="7" t="n">
        <x:v>100</x:v>
      </x:c>
      <x:c r="Q13" s="7" t="str">
        <x:v>2.8.0+cu128</x:v>
      </x:c>
      <x:c r="R13" s="51" t="b">
        <x:v>0</x:v>
      </x:c>
      <x:c r="S13" s="51" t="b">
        <x:v>0</x:v>
      </x:c>
      <x:c r="T13" s="12" t="str">
        <x:v>normalized GPU input; tensor TTA + model + softmax/aggregation/T</x:v>
      </x:c>
      <x:c r="U13" s="7" t="str">
        <x:v>step3/I09/latency_batch32.json</x:v>
      </x:c>
    </x:row>
    <x:row r="14" ht="36" customHeight="1">
      <x:c r="A14" s="7" t="str">
        <x:v>I10</x:v>
      </x:c>
      <x:c r="B14" s="12" t="str">
        <x:v>Resolution 320</x:v>
      </x:c>
      <x:c r="C14" s="7" t="str">
        <x:v>Tesla T4</x:v>
      </x:c>
      <x:c r="D14" s="7" t="str">
        <x:v>fp32</x:v>
      </x:c>
      <x:c r="E14" s="7" t="n">
        <x:v>1</x:v>
      </x:c>
      <x:c r="F14" s="7" t="n">
        <x:v>320</x:v>
      </x:c>
      <x:c r="G14" s="7" t="n">
        <x:v>320</x:v>
      </x:c>
      <x:c r="H14" s="7" t="n">
        <x:v>1</x:v>
      </x:c>
      <x:c r="I14" s="51" t="b">
        <x:v>0</x:v>
      </x:c>
      <x:c r="J14" s="42" t="n">
        <x:v>8.566771000005247</x:v>
      </x:c>
      <x:c r="K14" s="42" t="n">
        <x:v>9.153301400033342</x:v>
      </x:c>
      <x:c r="L14" s="42" t="n">
        <x:v>9.224600080315213</x:v>
      </x:c>
      <x:c r="M14" s="42" t="n">
        <x:v>8.667125530018893</x:v>
      </x:c>
      <x:c r="N14" s="44" t="n">
        <x:v>115.37850658058025</x:v>
      </x:c>
      <x:c r="O14" s="7" t="n">
        <x:v>10</x:v>
      </x:c>
      <x:c r="P14" s="7" t="n">
        <x:v>100</x:v>
      </x:c>
      <x:c r="Q14" s="7" t="str">
        <x:v>2.8.0+cu128</x:v>
      </x:c>
      <x:c r="R14" s="51" t="b">
        <x:v>0</x:v>
      </x:c>
      <x:c r="S14" s="51" t="b">
        <x:v>0</x:v>
      </x:c>
      <x:c r="T14" s="12" t="str">
        <x:v>normalized GPU input; tensor TTA + model + softmax/aggregation/T</x:v>
      </x:c>
      <x:c r="U14" s="7" t="str">
        <x:v>step3/I10/latency_batch1.json</x:v>
      </x:c>
    </x:row>
    <x:row r="15" ht="36" customHeight="1">
      <x:c r="A15" s="7" t="str">
        <x:v>I10</x:v>
      </x:c>
      <x:c r="B15" s="12" t="str">
        <x:v>Resolution 320</x:v>
      </x:c>
      <x:c r="C15" s="7" t="str">
        <x:v>Tesla T4</x:v>
      </x:c>
      <x:c r="D15" s="7" t="str">
        <x:v>fp32</x:v>
      </x:c>
      <x:c r="E15" s="7" t="n">
        <x:v>32</x:v>
      </x:c>
      <x:c r="F15" s="7" t="n">
        <x:v>320</x:v>
      </x:c>
      <x:c r="G15" s="7" t="n">
        <x:v>320</x:v>
      </x:c>
      <x:c r="H15" s="7" t="n">
        <x:v>1</x:v>
      </x:c>
      <x:c r="I15" s="51" t="b">
        <x:v>0</x:v>
      </x:c>
      <x:c r="J15" s="42" t="n">
        <x:v>226.53145599997515</x:v>
      </x:c>
      <x:c r="K15" s="42" t="n">
        <x:v>229.26256739986002</x:v>
      </x:c>
      <x:c r="L15" s="42" t="n">
        <x:v>229.99557527973593</x:v>
      </x:c>
      <x:c r="M15" s="42" t="n">
        <x:v>226.75324385000295</x:v>
      </x:c>
      <x:c r="N15" s="44" t="n">
        <x:v>141.12256767170206</x:v>
      </x:c>
      <x:c r="O15" s="7" t="n">
        <x:v>10</x:v>
      </x:c>
      <x:c r="P15" s="7" t="n">
        <x:v>100</x:v>
      </x:c>
      <x:c r="Q15" s="7" t="str">
        <x:v>2.8.0+cu128</x:v>
      </x:c>
      <x:c r="R15" s="51" t="b">
        <x:v>0</x:v>
      </x:c>
      <x:c r="S15" s="51" t="b">
        <x:v>0</x:v>
      </x:c>
      <x:c r="T15" s="12" t="str">
        <x:v>normalized GPU input; tensor TTA + model + softmax/aggregation/T</x:v>
      </x:c>
      <x:c r="U15" s="7" t="str">
        <x:v>step3/I10/latency_batch32.json</x:v>
      </x:c>
    </x:row>
    <x:row r="16" ht="36" customHeight="1">
      <x:c r="A16" s="7" t="str">
        <x:v>I07</x:v>
      </x:c>
      <x:c r="B16" s="12" t="str">
        <x:v>1 view + temperature</x:v>
      </x:c>
      <x:c r="C16" s="7" t="str">
        <x:v>Tesla T4</x:v>
      </x:c>
      <x:c r="D16" s="7" t="str">
        <x:v>fp32</x:v>
      </x:c>
      <x:c r="E16" s="7" t="n">
        <x:v>1</x:v>
      </x:c>
      <x:c r="F16" s="7" t="n">
        <x:v>224</x:v>
      </x:c>
      <x:c r="G16" s="7" t="n">
        <x:v>224</x:v>
      </x:c>
      <x:c r="H16" s="7" t="n">
        <x:v>1</x:v>
      </x:c>
      <x:c r="I16" s="51" t="b">
        <x:v>0</x:v>
      </x:c>
      <x:c r="J16" s="42" t="n">
        <x:v>5.06399899995813</x:v>
      </x:c>
      <x:c r="K16" s="42" t="n">
        <x:v>7.490706349949504</x:v>
      </x:c>
      <x:c r="L16" s="42" t="n">
        <x:v>8.596570879622051</x:v>
      </x:c>
      <x:c r="M16" s="42" t="n">
        <x:v>5.366366360003667</x:v>
      </x:c>
      <x:c r="N16" s="44" t="n">
        <x:v>186.34583122262205</x:v>
      </x:c>
      <x:c r="O16" s="7" t="n">
        <x:v>10</x:v>
      </x:c>
      <x:c r="P16" s="7" t="n">
        <x:v>100</x:v>
      </x:c>
      <x:c r="Q16" s="7" t="str">
        <x:v>2.8.0+cu128</x:v>
      </x:c>
      <x:c r="R16" s="51" t="b">
        <x:v>0</x:v>
      </x:c>
      <x:c r="S16" s="51" t="b">
        <x:v>0</x:v>
      </x:c>
      <x:c r="T16" s="12" t="str">
        <x:v>normalized GPU input; tensor TTA + model + softmax/aggregation/T</x:v>
      </x:c>
      <x:c r="U16" s="7" t="str">
        <x:v>step3/I07/latency_batch1.json</x:v>
      </x:c>
    </x:row>
    <x:row r="17" ht="36" customHeight="1">
      <x:c r="A17" s="7" t="str">
        <x:v>I07</x:v>
      </x:c>
      <x:c r="B17" s="12" t="str">
        <x:v>1 view + temperature</x:v>
      </x:c>
      <x:c r="C17" s="7" t="str">
        <x:v>Tesla T4</x:v>
      </x:c>
      <x:c r="D17" s="7" t="str">
        <x:v>fp32</x:v>
      </x:c>
      <x:c r="E17" s="7" t="n">
        <x:v>32</x:v>
      </x:c>
      <x:c r="F17" s="7" t="n">
        <x:v>224</x:v>
      </x:c>
      <x:c r="G17" s="7" t="n">
        <x:v>224</x:v>
      </x:c>
      <x:c r="H17" s="7" t="n">
        <x:v>1</x:v>
      </x:c>
      <x:c r="I17" s="51" t="b">
        <x:v>0</x:v>
      </x:c>
      <x:c r="J17" s="42" t="n">
        <x:v>113.99357300001611</x:v>
      </x:c>
      <x:c r="K17" s="42" t="n">
        <x:v>115.24236010031927</x:v>
      </x:c>
      <x:c r="L17" s="42" t="n">
        <x:v>115.59245574032502</x:v>
      </x:c>
      <x:c r="M17" s="42" t="n">
        <x:v>114.00108302998888</x:v>
      </x:c>
      <x:c r="N17" s="44" t="n">
        <x:v>280.69908767079124</x:v>
      </x:c>
      <x:c r="O17" s="7" t="n">
        <x:v>10</x:v>
      </x:c>
      <x:c r="P17" s="7" t="n">
        <x:v>100</x:v>
      </x:c>
      <x:c r="Q17" s="7" t="str">
        <x:v>2.8.0+cu128</x:v>
      </x:c>
      <x:c r="R17" s="51" t="b">
        <x:v>0</x:v>
      </x:c>
      <x:c r="S17" s="51" t="b">
        <x:v>0</x:v>
      </x:c>
      <x:c r="T17" s="12" t="str">
        <x:v>normalized GPU input; tensor TTA + model + softmax/aggregation/T</x:v>
      </x:c>
      <x:c r="U17" s="7" t="str">
        <x:v>step3/I07/latency_batch32.json</x:v>
      </x:c>
    </x:row>
    <x:row r="18" ht="36" customHeight="1">
      <x:c r="A18" s="7" t="str">
        <x:v>I08</x:v>
      </x:c>
      <x:c r="B18" s="12" t="str">
        <x:v>1 view AMP FP16</x:v>
      </x:c>
      <x:c r="C18" s="7" t="str">
        <x:v>Tesla T4</x:v>
      </x:c>
      <x:c r="D18" s="7" t="str">
        <x:v>amp</x:v>
      </x:c>
      <x:c r="E18" s="7" t="n">
        <x:v>1</x:v>
      </x:c>
      <x:c r="F18" s="7" t="n">
        <x:v>224</x:v>
      </x:c>
      <x:c r="G18" s="7" t="n">
        <x:v>224</x:v>
      </x:c>
      <x:c r="H18" s="7" t="n">
        <x:v>1</x:v>
      </x:c>
      <x:c r="I18" s="51" t="b">
        <x:v>0</x:v>
      </x:c>
      <x:c r="J18" s="42" t="n">
        <x:v>7.083049499897243</x:v>
      </x:c>
      <x:c r="K18" s="42" t="n">
        <x:v>10.559240600014162</x:v>
      </x:c>
      <x:c r="L18" s="42" t="n">
        <x:v>11.857329199942797</x:v>
      </x:c>
      <x:c r="M18" s="42" t="n">
        <x:v>7.568062009950154</x:v>
      </x:c>
      <x:c r="N18" s="44" t="n">
        <x:v>132.1342238852224</x:v>
      </x:c>
      <x:c r="O18" s="7" t="n">
        <x:v>10</x:v>
      </x:c>
      <x:c r="P18" s="7" t="n">
        <x:v>100</x:v>
      </x:c>
      <x:c r="Q18" s="7" t="str">
        <x:v>2.8.0+cu128</x:v>
      </x:c>
      <x:c r="R18" s="51" t="b">
        <x:v>0</x:v>
      </x:c>
      <x:c r="S18" s="51" t="b">
        <x:v>0</x:v>
      </x:c>
      <x:c r="T18" s="12" t="str">
        <x:v>normalized GPU input; tensor TTA + model + softmax/aggregation/T</x:v>
      </x:c>
      <x:c r="U18" s="7" t="str">
        <x:v>step3/I08/latency_batch1.json</x:v>
      </x:c>
    </x:row>
    <x:row r="19" ht="36" customHeight="1">
      <x:c r="A19" s="7" t="str">
        <x:v>I08</x:v>
      </x:c>
      <x:c r="B19" s="12" t="str">
        <x:v>1 view AMP FP16</x:v>
      </x:c>
      <x:c r="C19" s="7" t="str">
        <x:v>Tesla T4</x:v>
      </x:c>
      <x:c r="D19" s="7" t="str">
        <x:v>amp</x:v>
      </x:c>
      <x:c r="E19" s="7" t="n">
        <x:v>32</x:v>
      </x:c>
      <x:c r="F19" s="7" t="n">
        <x:v>224</x:v>
      </x:c>
      <x:c r="G19" s="7" t="n">
        <x:v>224</x:v>
      </x:c>
      <x:c r="H19" s="7" t="n">
        <x:v>1</x:v>
      </x:c>
      <x:c r="I19" s="51" t="b">
        <x:v>0</x:v>
      </x:c>
      <x:c r="J19" s="42" t="n">
        <x:v>44.336849000274015</x:v>
      </x:c>
      <x:c r="K19" s="42" t="n">
        <x:v>44.857776350272616</x:v>
      </x:c>
      <x:c r="L19" s="42" t="n">
        <x:v>45.68571830006932</x:v>
      </x:c>
      <x:c r="M19" s="42" t="n">
        <x:v>44.385808240058395</x:v>
      </x:c>
      <x:c r="N19" s="44" t="n">
        <x:v>720.9511613921644</x:v>
      </x:c>
      <x:c r="O19" s="7" t="n">
        <x:v>10</x:v>
      </x:c>
      <x:c r="P19" s="7" t="n">
        <x:v>100</x:v>
      </x:c>
      <x:c r="Q19" s="7" t="str">
        <x:v>2.8.0+cu128</x:v>
      </x:c>
      <x:c r="R19" s="51" t="b">
        <x:v>0</x:v>
      </x:c>
      <x:c r="S19" s="51" t="b">
        <x:v>0</x:v>
      </x:c>
      <x:c r="T19" s="12" t="str">
        <x:v>normalized GPU input; tensor TTA + model + softmax/aggregation/T</x:v>
      </x:c>
      <x:c r="U19" s="7" t="str">
        <x:v>step3/I08/latency_batch32.json</x:v>
      </x:c>
    </x:row>
    <x:row r="22">
      <x:c r="A22" t="str">
        <x:v>Raw samples: step3/Ixx/latency_batch1/32.json; batch 1 và 32.</x:v>
      </x:c>
    </x:row>
    <x:row r="23">
      <x:c r="A23" t="str">
        <x:v>10 warmup + 100 lần đo; synchronize trước/sau. Input sẵn trên GPU; gồm TTA/model/softmax/T.</x:v>
      </x:c>
    </x:row>
    <x:row r="24">
      <x:c r="A24" t="str">
        <x:v>Không gồm decode/PIL/H2D/D2H. p95≤100 ms là ngưỡng pipeline GPU; chưa phải toàn bộ camera/robot.</x:v>
      </x:c>
    </x:row>
  </x:sheetData>
  <x:mergeCells>
    <x:mergeCell ref="A5:G5"/>
    <x:mergeCell ref="A6:G6"/>
    <x:mergeCell ref="A7:G7"/>
    <x:mergeCell ref="A22:G22"/>
    <x:mergeCell ref="A23:G23"/>
    <x:mergeCell ref="A24:G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8.130000114440918" hidden="0" customWidth="1"/>
    <x:col min="3" max="3" width="8.130000114440918" hidden="0" customWidth="1"/>
    <x:col min="4" max="4" width="29.379999160766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8.130000114440918" hidden="0" customWidth="1"/>
    <x:col min="10" max="10" width="42.5" hidden="0" customWidth="1"/>
    <x:col min="11" max="11" width="42.5" hidden="0" customWidth="1"/>
  </x:cols>
  <x:sheetData>
    <x:row r="1" ht="44" customHeight="1">
      <x:c r="A1" s="47" t="str">
        <x:v>Hạng</x:v>
      </x:c>
      <x:c r="B1" s="47" t="str">
        <x:v>ID</x:v>
      </x:c>
      <x:c r="C1" s="47" t="str">
        <x:v>Bước</x:v>
      </x:c>
      <x:c r="D1" s="47" t="str">
        <x:v>Cấu hình</x:v>
      </x:c>
      <x:c r="E1" s="47" t="str">
        <x:v>Macro-F1 val</x:v>
      </x:c>
      <x:c r="F1" s="47" t="str">
        <x:v>Top-1 val</x:v>
      </x:c>
      <x:c r="G1" s="47" t="str">
        <x:v>ECE val</x:v>
      </x:c>
      <x:c r="H1" s="47" t="str">
        <x:v>p95 (ms)</x:v>
      </x:c>
      <x:c r="I1" s="47" t="str">
        <x:v>Số seed</x:v>
      </x:c>
      <x:c r="J1" s="47" t="str">
        <x:v>Điều kiện đo</x:v>
      </x:c>
      <x:c r="K1" s="47" t="str">
        <x:v>Ghi chú</x:v>
      </x:c>
    </x:row>
    <x:row r="2" ht="35" customHeight="1">
      <x:c r="A2" s="52" t="n">
        <x:v>1</x:v>
      </x:c>
      <x:c r="B2" s="52" t="str">
        <x:v>I09</x:v>
      </x:c>
      <x:c r="C2" s="52" t="str">
        <x:v>I</x:v>
      </x:c>
      <x:c r="D2" s="53" t="str">
        <x:v>Resolution 288</x:v>
      </x:c>
      <x:c r="E2" s="54" t="n">
        <x:v>0.9698380941836109</x:v>
      </x:c>
      <x:c r="F2" s="54" t="n">
        <x:v>0.9771493858897458</x:v>
      </x:c>
      <x:c r="G2" s="55" t="n">
        <x:v>0.1038055720536991</x:v>
      </x:c>
      <x:c r="H2" s="56" t="n">
        <x:v>9.068122750227303</x:v>
      </x:c>
      <x:c r="I2" s="52" t="n">
        <x:v>1</x:v>
      </x:c>
      <x:c r="J2" s="53" t="str">
        <x:v>Lightning T4, 100 synchronized GPU pipeline timings</x:v>
      </x:c>
      <x:c r="K2" s="53" t="str">
        <x:v>val only; no multi-seed test results</x:v>
      </x:c>
    </x:row>
    <x:row r="3" ht="35" customHeight="1">
      <x:c r="A3" s="7" t="n">
        <x:v>2</x:v>
      </x:c>
      <x:c r="B3" s="7" t="str">
        <x:v>I04</x:v>
      </x:c>
      <x:c r="C3" s="7" t="str">
        <x:v>I</x:v>
      </x:c>
      <x:c r="D3" s="12" t="str">
        <x:v>Resolution 256</x:v>
      </x:c>
      <x:c r="E3" s="40" t="n">
        <x:v>0.9689643072792996</x:v>
      </x:c>
      <x:c r="F3" s="40" t="n">
        <x:v>0.9765781205369894</x:v>
      </x:c>
      <x:c r="G3" s="41" t="n">
        <x:v>0.09549411788631819</x:v>
      </x:c>
      <x:c r="H3" s="42" t="n">
        <x:v>9.138116349868142</x:v>
      </x:c>
      <x:c r="I3" s="7" t="n">
        <x:v>1</x:v>
      </x:c>
      <x:c r="J3" s="12" t="str">
        <x:v>Lightning T4, 100 synchronized GPU pipeline timings</x:v>
      </x:c>
      <x:c r="K3" s="12" t="str">
        <x:v>val only; no multi-seed test results</x:v>
      </x:c>
    </x:row>
    <x:row r="4" ht="35" customHeight="1">
      <x:c r="A4" s="7" t="n">
        <x:v>3</x:v>
      </x:c>
      <x:c r="B4" s="7" t="str">
        <x:v>I10</x:v>
      </x:c>
      <x:c r="C4" s="7" t="str">
        <x:v>I</x:v>
      </x:c>
      <x:c r="D4" s="12" t="str">
        <x:v>Resolution 320</x:v>
      </x:c>
      <x:c r="E4" s="40" t="n">
        <x:v>0.968106255766696</x:v>
      </x:c>
      <x:c r="F4" s="40" t="n">
        <x:v>0.9762924878606113</x:v>
      </x:c>
      <x:c r="G4" s="41" t="n">
        <x:v>0.11564186553556126</x:v>
      </x:c>
      <x:c r="H4" s="42" t="n">
        <x:v>9.153301400033342</x:v>
      </x:c>
      <x:c r="I4" s="7" t="n">
        <x:v>1</x:v>
      </x:c>
      <x:c r="J4" s="12" t="str">
        <x:v>Lightning T4, 100 synchronized GPU pipeline timings</x:v>
      </x:c>
      <x:c r="K4" s="12" t="str">
        <x:v>val only; no multi-seed test results</x:v>
      </x:c>
    </x:row>
    <x:row r="5" ht="35" customHeight="1">
      <x:c r="A5" s="7" t="n">
        <x:v>4</x:v>
      </x:c>
      <x:c r="B5" s="7" t="str">
        <x:v>I02</x:v>
      </x:c>
      <x:c r="C5" s="7" t="str">
        <x:v>I</x:v>
      </x:c>
      <x:c r="D5" s="12" t="str">
        <x:v>5 crops / probability</x:v>
      </x:c>
      <x:c r="E5" s="40" t="n">
        <x:v>0.9661639604452444</x:v>
      </x:c>
      <x:c r="F5" s="40" t="n">
        <x:v>0.9754355898314767</x:v>
      </x:c>
      <x:c r="G5" s="41" t="n">
        <x:v>0.09960301870037136</x:v>
      </x:c>
      <x:c r="H5" s="42" t="n">
        <x:v>42.252744699828774</x:v>
      </x:c>
      <x:c r="I5" s="7" t="n">
        <x:v>1</x:v>
      </x:c>
      <x:c r="J5" s="12" t="str">
        <x:v>Lightning T4, 100 synchronized GPU pipeline timings</x:v>
      </x:c>
      <x:c r="K5" s="12" t="str">
        <x:v>val only; no multi-seed test results</x:v>
      </x:c>
    </x:row>
    <x:row r="6" ht="35" customHeight="1">
      <x:c r="A6" s="7" t="n">
        <x:v>5</x:v>
      </x:c>
      <x:c r="B6" s="7" t="str">
        <x:v>I03</x:v>
      </x:c>
      <x:c r="C6" s="7" t="str">
        <x:v>I</x:v>
      </x:c>
      <x:c r="D6" s="12" t="str">
        <x:v>Hflip TTA / logits</x:v>
      </x:c>
      <x:c r="E6" s="40" t="n">
        <x:v>0.9642724549175057</x:v>
      </x:c>
      <x:c r="F6" s="40" t="n">
        <x:v>0.9734361610968295</x:v>
      </x:c>
      <x:c r="G6" s="41" t="n">
        <x:v>0.09718448681233922</x:v>
      </x:c>
      <x:c r="H6" s="42" t="n">
        <x:v>16.35914885002876</x:v>
      </x:c>
      <x:c r="I6" s="7" t="n">
        <x:v>1</x:v>
      </x:c>
      <x:c r="J6" s="12" t="str">
        <x:v>Lightning T4, 100 synchronized GPU pipeline timings</x:v>
      </x:c>
      <x:c r="K6" s="12" t="str">
        <x:v>val only; no multi-seed test results</x:v>
      </x:c>
    </x:row>
    <x:row r="7" ht="35" customHeight="1">
      <x:c r="A7" s="7" t="n">
        <x:v>6</x:v>
      </x:c>
      <x:c r="B7" s="7" t="str">
        <x:v>I01</x:v>
      </x:c>
      <x:c r="C7" s="7" t="str">
        <x:v>I</x:v>
      </x:c>
      <x:c r="D7" s="12" t="str">
        <x:v>Hflip TTA / probability</x:v>
      </x:c>
      <x:c r="E7" s="40" t="n">
        <x:v>0.9642588606265972</x:v>
      </x:c>
      <x:c r="F7" s="40" t="n">
        <x:v>0.9734361610968295</x:v>
      </x:c>
      <x:c r="G7" s="41" t="n">
        <x:v>0.09708798446443855</x:v>
      </x:c>
      <x:c r="H7" s="42" t="n">
        <x:v>18.862193050108544</x:v>
      </x:c>
      <x:c r="I7" s="7" t="n">
        <x:v>1</x:v>
      </x:c>
      <x:c r="J7" s="12" t="str">
        <x:v>Lightning T4, 100 synchronized GPU pipeline timings</x:v>
      </x:c>
      <x:c r="K7" s="12" t="str">
        <x:v>val only; no multi-seed test results</x:v>
      </x:c>
    </x:row>
    <x:row r="8" ht="35" customHeight="1">
      <x:c r="A8" s="7" t="n">
        <x:v>7</x:v>
      </x:c>
      <x:c r="B8" s="7" t="str">
        <x:v>I07</x:v>
      </x:c>
      <x:c r="C8" s="7" t="str">
        <x:v>I</x:v>
      </x:c>
      <x:c r="D8" s="12" t="str">
        <x:v>1 view + temperature</x:v>
      </x:c>
      <x:c r="E8" s="40" t="n">
        <x:v>0.9641032435221208</x:v>
      </x:c>
      <x:c r="F8" s="40" t="n">
        <x:v>0.9737217937732077</x:v>
      </x:c>
      <x:c r="G8" s="41" t="n">
        <x:v>0.004736394133104849</x:v>
      </x:c>
      <x:c r="H8" s="42" t="n">
        <x:v>7.490706349949504</x:v>
      </x:c>
      <x:c r="I8" s="7" t="n">
        <x:v>1</x:v>
      </x:c>
      <x:c r="J8" s="12" t="str">
        <x:v>Lightning T4, 100 synchronized GPU pipeline timings</x:v>
      </x:c>
      <x:c r="K8" s="12" t="str">
        <x:v>val only; no multi-seed test results</x:v>
      </x:c>
    </x:row>
    <x:row r="9" ht="35" customHeight="1">
      <x:c r="A9" s="7" t="n">
        <x:v>8</x:v>
      </x:c>
      <x:c r="B9" s="7" t="str">
        <x:v>I08</x:v>
      </x:c>
      <x:c r="C9" s="7" t="str">
        <x:v>I</x:v>
      </x:c>
      <x:c r="D9" s="12" t="str">
        <x:v>1 view AMP FP16</x:v>
      </x:c>
      <x:c r="E9" s="40" t="n">
        <x:v>0.9641032435221208</x:v>
      </x:c>
      <x:c r="F9" s="40" t="n">
        <x:v>0.9737217937732077</x:v>
      </x:c>
      <x:c r="G9" s="41" t="n">
        <x:v>0.09613235726078252</x:v>
      </x:c>
      <x:c r="H9" s="42" t="n">
        <x:v>10.559240600014162</x:v>
      </x:c>
      <x:c r="I9" s="7" t="n">
        <x:v>1</x:v>
      </x:c>
      <x:c r="J9" s="12" t="str">
        <x:v>Lightning T4, 100 synchronized GPU pipeline timings</x:v>
      </x:c>
      <x:c r="K9" s="12" t="str">
        <x:v>val only; no multi-seed test results</x:v>
      </x:c>
    </x:row>
    <x:row r="10" ht="35" customHeight="1">
      <x:c r="A10" s="7" t="n">
        <x:v>9</x:v>
      </x:c>
      <x:c r="B10" s="7" t="str">
        <x:v>I00</x:v>
      </x:c>
      <x:c r="C10" s="7" t="str">
        <x:v>I</x:v>
      </x:c>
      <x:c r="D10" s="12" t="str">
        <x:v>1 view FP32</x:v>
      </x:c>
      <x:c r="E10" s="40" t="n">
        <x:v>0.9641032435221208</x:v>
      </x:c>
      <x:c r="F10" s="40" t="n">
        <x:v>0.9737217937732077</x:v>
      </x:c>
      <x:c r="G10" s="41" t="n">
        <x:v>0.09615286034275924</x:v>
      </x:c>
      <x:c r="H10" s="42" t="n">
        <x:v>9.390229150073992</x:v>
      </x:c>
      <x:c r="I10" s="7" t="n">
        <x:v>1</x:v>
      </x:c>
      <x:c r="J10" s="12" t="str">
        <x:v>Lightning T4, 100 synchronized GPU pipeline timings</x:v>
      </x:c>
      <x:c r="K10" s="12" t="str">
        <x:v>val only; no multi-seed test results</x:v>
      </x:c>
    </x:row>
    <x:row r="11" ht="35" customHeight="1">
      <x:c r="A11" s="7" t="n">
        <x:v>10</x:v>
      </x:c>
      <x:c r="B11" s="7" t="str">
        <x:v>T04</x:v>
      </x:c>
      <x:c r="C11" s="7" t="str">
        <x:v>T</x:v>
      </x:c>
      <x:c r="D11" s="12" t="str">
        <x:v>CutMix alpha=1</x:v>
      </x:c>
      <x:c r="E11" s="40" t="n">
        <x:v>0.9630413373883078</x:v>
      </x:c>
      <x:c r="F11" s="40" t="n">
        <x:v>0.9720079977149386</x:v>
      </x:c>
      <x:c r="G11" s="41" t="n">
        <x:v>0.025046328791773743</x:v>
      </x:c>
      <x:c r="H11" s="42"/>
      <x:c r="I11" s="7" t="n">
        <x:v>1</x:v>
      </x:c>
      <x:c r="J11" s="12" t="str">
        <x:v>No comparable p95; screening timings only</x:v>
      </x:c>
      <x:c r="K11" s="12" t="str">
        <x:v>val only; no multi-seed test results</x:v>
      </x:c>
    </x:row>
    <x:row r="14">
      <x:c r="A14" t="str">
        <x:v>Top 10 cấu hình val, một seed. T00=B03 và T05=I00 được bỏ trùng; p95 chỉ so trong Lightning Bước 3.</x:v>
      </x:c>
    </x:row>
  </x:sheetData>
  <x:mergeCells>
    <x:mergeCell ref="A14:G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8.130000114440918" hidden="0" customWidth="1"/>
    <x:col min="3" max="3" width="15" hidden="0" customWidth="1"/>
    <x:col min="4" max="4" width="29.379999160766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9.3799991607666" hidden="0" customWidth="1"/>
  </x:cols>
  <x:sheetData>
    <x:row r="1" ht="44" customHeight="1">
      <x:c r="A1" s="47" t="str">
        <x:v>ID</x:v>
      </x:c>
      <x:c r="B1" s="47" t="str">
        <x:v>Seed</x:v>
      </x:c>
      <x:c r="C1" s="47" t="str">
        <x:v>Công thức</x:v>
      </x:c>
      <x:c r="D1" s="47" t="str">
        <x:v>Suy luận</x:v>
      </x:c>
      <x:c r="E1" s="47" t="str">
        <x:v>T val</x:v>
      </x:c>
      <x:c r="F1" s="47" t="str">
        <x:v>Macro-F1 val</x:v>
      </x:c>
      <x:c r="G1" s="47" t="str">
        <x:v>Top-1 val</x:v>
      </x:c>
      <x:c r="H1" s="47" t="str">
        <x:v>Macro-F1 test</x:v>
      </x:c>
      <x:c r="I1" s="47" t="str">
        <x:v>Top-1 test</x:v>
      </x:c>
      <x:c r="J1" s="47" t="str">
        <x:v>ECE test</x:v>
      </x:c>
      <x:c r="K1" s="47" t="str">
        <x:v>ECE test chưa T</x:v>
      </x:c>
      <x:c r="L1" s="47" t="str">
        <x:v>p95 (ms)</x:v>
      </x:c>
      <x:c r="M1" s="47" t="str">
        <x:v>Checkpoint epoch</x:v>
      </x:c>
      <x:c r="N1" s="47" t="str">
        <x:v>Trạng thái</x:v>
      </x:c>
    </x:row>
    <x:row r="2" ht="35" customHeight="1">
      <x:c r="A2" s="7" t="str">
        <x:v>F00</x:v>
      </x:c>
      <x:c r="B2" s="7" t="n">
        <x:v>0</x:v>
      </x:c>
      <x:c r="C2" s="7" t="str">
        <x:v>T00</x:v>
      </x:c>
      <x:c r="D2" s="12" t="str">
        <x:v>I00</x:v>
      </x:c>
      <x:c r="E2" s="39" t="n">
        <x:v>1</x:v>
      </x:c>
      <x:c r="F2" s="40"/>
      <x:c r="G2" s="40"/>
      <x:c r="H2" s="40"/>
      <x:c r="I2" s="40"/>
      <x:c r="J2" s="41"/>
      <x:c r="K2" s="41"/>
      <x:c r="L2" s="42"/>
      <x:c r="M2" s="7"/>
      <x:c r="N2" s="12" t="str">
        <x:v>Chưa train/test</x:v>
      </x:c>
    </x:row>
    <x:row r="3" ht="35" customHeight="1">
      <x:c r="A3" s="7" t="str">
        <x:v>F00</x:v>
      </x:c>
      <x:c r="B3" s="7" t="n">
        <x:v>1</x:v>
      </x:c>
      <x:c r="C3" s="7" t="str">
        <x:v>T00</x:v>
      </x:c>
      <x:c r="D3" s="12" t="str">
        <x:v>I00</x:v>
      </x:c>
      <x:c r="E3" s="39" t="n">
        <x:v>1</x:v>
      </x:c>
      <x:c r="F3" s="40"/>
      <x:c r="G3" s="40"/>
      <x:c r="H3" s="40"/>
      <x:c r="I3" s="40"/>
      <x:c r="J3" s="41"/>
      <x:c r="K3" s="41"/>
      <x:c r="L3" s="42"/>
      <x:c r="M3" s="7"/>
      <x:c r="N3" s="12" t="str">
        <x:v>Chưa train/test</x:v>
      </x:c>
    </x:row>
    <x:row r="4" ht="35" customHeight="1">
      <x:c r="A4" s="7" t="str">
        <x:v>F00</x:v>
      </x:c>
      <x:c r="B4" s="7" t="n">
        <x:v>2</x:v>
      </x:c>
      <x:c r="C4" s="7" t="str">
        <x:v>T00</x:v>
      </x:c>
      <x:c r="D4" s="12" t="str">
        <x:v>I00</x:v>
      </x:c>
      <x:c r="E4" s="39" t="n">
        <x:v>1</x:v>
      </x:c>
      <x:c r="F4" s="40"/>
      <x:c r="G4" s="40"/>
      <x:c r="H4" s="40"/>
      <x:c r="I4" s="40"/>
      <x:c r="J4" s="41"/>
      <x:c r="K4" s="41"/>
      <x:c r="L4" s="42"/>
      <x:c r="M4" s="7"/>
      <x:c r="N4" s="12" t="str">
        <x:v>Chưa train/test</x:v>
      </x:c>
    </x:row>
    <x:row r="5" ht="35" customHeight="1">
      <x:c r="A5" s="7" t="str">
        <x:v>F01</x:v>
      </x:c>
      <x:c r="B5" s="7" t="n">
        <x:v>0</x:v>
      </x:c>
      <x:c r="C5" s="7" t="str">
        <x:v>T05</x:v>
      </x:c>
      <x:c r="D5" s="12" t="str">
        <x:v>I09 + own val-fit T</x:v>
      </x:c>
      <x:c r="E5" s="39"/>
      <x:c r="F5" s="40"/>
      <x:c r="G5" s="40"/>
      <x:c r="H5" s="40"/>
      <x:c r="I5" s="40"/>
      <x:c r="J5" s="41"/>
      <x:c r="K5" s="41"/>
      <x:c r="L5" s="42"/>
      <x:c r="M5" s="7"/>
      <x:c r="N5" s="12" t="str">
        <x:v>Chưa train/test</x:v>
      </x:c>
    </x:row>
    <x:row r="6" ht="35" customHeight="1">
      <x:c r="A6" s="7" t="str">
        <x:v>F01</x:v>
      </x:c>
      <x:c r="B6" s="7" t="n">
        <x:v>1</x:v>
      </x:c>
      <x:c r="C6" s="7" t="str">
        <x:v>T05</x:v>
      </x:c>
      <x:c r="D6" s="12" t="str">
        <x:v>I09 + own val-fit T</x:v>
      </x:c>
      <x:c r="E6" s="39"/>
      <x:c r="F6" s="40"/>
      <x:c r="G6" s="40"/>
      <x:c r="H6" s="40"/>
      <x:c r="I6" s="40"/>
      <x:c r="J6" s="41"/>
      <x:c r="K6" s="41"/>
      <x:c r="L6" s="42"/>
      <x:c r="M6" s="7"/>
      <x:c r="N6" s="12" t="str">
        <x:v>Chưa train/test</x:v>
      </x:c>
    </x:row>
    <x:row r="7" ht="35" customHeight="1">
      <x:c r="A7" s="7" t="str">
        <x:v>F01</x:v>
      </x:c>
      <x:c r="B7" s="7" t="n">
        <x:v>2</x:v>
      </x:c>
      <x:c r="C7" s="7" t="str">
        <x:v>T05</x:v>
      </x:c>
      <x:c r="D7" s="12" t="str">
        <x:v>I09 + own val-fit T</x:v>
      </x:c>
      <x:c r="E7" s="39"/>
      <x:c r="F7" s="40"/>
      <x:c r="G7" s="40"/>
      <x:c r="H7" s="40"/>
      <x:c r="I7" s="40"/>
      <x:c r="J7" s="41"/>
      <x:c r="K7" s="41"/>
      <x:c r="L7" s="42"/>
      <x:c r="M7" s="7"/>
      <x:c r="N7" s="12" t="str">
        <x:v>Chưa train/test</x:v>
      </x:c>
    </x:row>
    <x:row r="10">
      <x:c r="A10" t="str">
        <x:v>Chờ Bước 4: chưa có mean ± std, metric test hoặc dự đoán test. Không điền số val vào test.</x:v>
      </x:c>
    </x:row>
  </x:sheetData>
  <x:mergeCells>
    <x:mergeCell ref="A10:G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9.379999160766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9.3799991607666" hidden="0" customWidth="1"/>
  </x:cols>
  <x:sheetData>
    <x:row r="1" ht="44" customHeight="1">
      <x:c r="A1" s="47" t="str">
        <x:v>ID</x:v>
      </x:c>
      <x:c r="B1" s="47" t="str">
        <x:v>Lớp</x:v>
      </x:c>
      <x:c r="C1" s="47" t="str">
        <x:v>Số ảnh test/seed</x:v>
      </x:c>
      <x:c r="D1" s="47" t="str">
        <x:v>Precision test</x:v>
      </x:c>
      <x:c r="E1" s="47" t="str">
        <x:v>Recall test</x:v>
      </x:c>
      <x:c r="F1" s="47" t="str">
        <x:v>F1 test</x:v>
      </x:c>
      <x:c r="G1" s="47" t="str">
        <x:v>Trạng thái</x:v>
      </x:c>
    </x:row>
    <x:row r="2" ht="35" customHeight="1">
      <x:c r="A2" s="7" t="str">
        <x:v>F00</x:v>
      </x:c>
      <x:c r="B2" s="12" t="str">
        <x:v>Chinee Apple</x:v>
      </x:c>
      <x:c r="C2" s="7" t="n">
        <x:v>226</x:v>
      </x:c>
      <x:c r="D2" s="40"/>
      <x:c r="E2" s="40"/>
      <x:c r="F2" s="40"/>
      <x:c r="G2" s="12" t="str">
        <x:v>Chưa có dự đoán test</x:v>
      </x:c>
    </x:row>
    <x:row r="3" ht="35" customHeight="1">
      <x:c r="A3" s="7" t="str">
        <x:v>F00</x:v>
      </x:c>
      <x:c r="B3" s="12" t="str">
        <x:v>Lantana</x:v>
      </x:c>
      <x:c r="C3" s="7" t="n">
        <x:v>213</x:v>
      </x:c>
      <x:c r="D3" s="40"/>
      <x:c r="E3" s="40"/>
      <x:c r="F3" s="40"/>
      <x:c r="G3" s="12" t="str">
        <x:v>Chưa có dự đoán test</x:v>
      </x:c>
    </x:row>
    <x:row r="4" ht="35" customHeight="1">
      <x:c r="A4" s="7" t="str">
        <x:v>F00</x:v>
      </x:c>
      <x:c r="B4" s="12" t="str">
        <x:v>Parkinsonia</x:v>
      </x:c>
      <x:c r="C4" s="7" t="n">
        <x:v>207</x:v>
      </x:c>
      <x:c r="D4" s="40"/>
      <x:c r="E4" s="40"/>
      <x:c r="F4" s="40"/>
      <x:c r="G4" s="12" t="str">
        <x:v>Chưa có dự đoán test</x:v>
      </x:c>
    </x:row>
    <x:row r="5" ht="35" customHeight="1">
      <x:c r="A5" s="7" t="str">
        <x:v>F00</x:v>
      </x:c>
      <x:c r="B5" s="12" t="str">
        <x:v>Parthenium</x:v>
      </x:c>
      <x:c r="C5" s="7" t="n">
        <x:v>205</x:v>
      </x:c>
      <x:c r="D5" s="40"/>
      <x:c r="E5" s="40"/>
      <x:c r="F5" s="40"/>
      <x:c r="G5" s="12" t="str">
        <x:v>Chưa có dự đoán test</x:v>
      </x:c>
    </x:row>
    <x:row r="6" ht="35" customHeight="1">
      <x:c r="A6" s="7" t="str">
        <x:v>F00</x:v>
      </x:c>
      <x:c r="B6" s="12" t="str">
        <x:v>Prickly Acacia</x:v>
      </x:c>
      <x:c r="C6" s="7" t="n">
        <x:v>213</x:v>
      </x:c>
      <x:c r="D6" s="40"/>
      <x:c r="E6" s="40"/>
      <x:c r="F6" s="40"/>
      <x:c r="G6" s="12" t="str">
        <x:v>Chưa có dự đoán test</x:v>
      </x:c>
    </x:row>
    <x:row r="7" ht="35" customHeight="1">
      <x:c r="A7" s="7" t="str">
        <x:v>F00</x:v>
      </x:c>
      <x:c r="B7" s="12" t="str">
        <x:v>Rubber Vine</x:v>
      </x:c>
      <x:c r="C7" s="7" t="n">
        <x:v>202</x:v>
      </x:c>
      <x:c r="D7" s="40"/>
      <x:c r="E7" s="40"/>
      <x:c r="F7" s="40"/>
      <x:c r="G7" s="12" t="str">
        <x:v>Chưa có dự đoán test</x:v>
      </x:c>
    </x:row>
    <x:row r="8" ht="35" customHeight="1">
      <x:c r="A8" s="7" t="str">
        <x:v>F00</x:v>
      </x:c>
      <x:c r="B8" s="12" t="str">
        <x:v>Siam Weed</x:v>
      </x:c>
      <x:c r="C8" s="7" t="n">
        <x:v>215</x:v>
      </x:c>
      <x:c r="D8" s="40"/>
      <x:c r="E8" s="40"/>
      <x:c r="F8" s="40"/>
      <x:c r="G8" s="12" t="str">
        <x:v>Chưa có dự đoán test</x:v>
      </x:c>
    </x:row>
    <x:row r="9" ht="35" customHeight="1">
      <x:c r="A9" s="7" t="str">
        <x:v>F00</x:v>
      </x:c>
      <x:c r="B9" s="12" t="str">
        <x:v>Snake Weed</x:v>
      </x:c>
      <x:c r="C9" s="7" t="n">
        <x:v>204</x:v>
      </x:c>
      <x:c r="D9" s="40"/>
      <x:c r="E9" s="40"/>
      <x:c r="F9" s="40"/>
      <x:c r="G9" s="12" t="str">
        <x:v>Chưa có dự đoán test</x:v>
      </x:c>
    </x:row>
    <x:row r="10" ht="35" customHeight="1">
      <x:c r="A10" s="7" t="str">
        <x:v>F00</x:v>
      </x:c>
      <x:c r="B10" s="12" t="str">
        <x:v>Negatives</x:v>
      </x:c>
      <x:c r="C10" s="7" t="n">
        <x:v>1822</x:v>
      </x:c>
      <x:c r="D10" s="40"/>
      <x:c r="E10" s="40"/>
      <x:c r="F10" s="40"/>
      <x:c r="G10" s="12" t="str">
        <x:v>Chưa có dự đoán test</x:v>
      </x:c>
    </x:row>
    <x:row r="11" ht="35" customHeight="1">
      <x:c r="A11" s="7" t="str">
        <x:v>F01</x:v>
      </x:c>
      <x:c r="B11" s="12" t="str">
        <x:v>Chinee Apple</x:v>
      </x:c>
      <x:c r="C11" s="7" t="n">
        <x:v>226</x:v>
      </x:c>
      <x:c r="D11" s="40"/>
      <x:c r="E11" s="40"/>
      <x:c r="F11" s="40"/>
      <x:c r="G11" s="12" t="str">
        <x:v>Chưa có dự đoán test</x:v>
      </x:c>
    </x:row>
    <x:row r="12" ht="35" customHeight="1">
      <x:c r="A12" s="7" t="str">
        <x:v>F01</x:v>
      </x:c>
      <x:c r="B12" s="12" t="str">
        <x:v>Lantana</x:v>
      </x:c>
      <x:c r="C12" s="7" t="n">
        <x:v>213</x:v>
      </x:c>
      <x:c r="D12" s="40"/>
      <x:c r="E12" s="40"/>
      <x:c r="F12" s="40"/>
      <x:c r="G12" s="12" t="str">
        <x:v>Chưa có dự đoán test</x:v>
      </x:c>
    </x:row>
    <x:row r="13" ht="35" customHeight="1">
      <x:c r="A13" s="7" t="str">
        <x:v>F01</x:v>
      </x:c>
      <x:c r="B13" s="12" t="str">
        <x:v>Parkinsonia</x:v>
      </x:c>
      <x:c r="C13" s="7" t="n">
        <x:v>207</x:v>
      </x:c>
      <x:c r="D13" s="40"/>
      <x:c r="E13" s="40"/>
      <x:c r="F13" s="40"/>
      <x:c r="G13" s="12" t="str">
        <x:v>Chưa có dự đoán test</x:v>
      </x:c>
    </x:row>
    <x:row r="14" ht="35" customHeight="1">
      <x:c r="A14" s="7" t="str">
        <x:v>F01</x:v>
      </x:c>
      <x:c r="B14" s="12" t="str">
        <x:v>Parthenium</x:v>
      </x:c>
      <x:c r="C14" s="7" t="n">
        <x:v>205</x:v>
      </x:c>
      <x:c r="D14" s="40"/>
      <x:c r="E14" s="40"/>
      <x:c r="F14" s="40"/>
      <x:c r="G14" s="12" t="str">
        <x:v>Chưa có dự đoán test</x:v>
      </x:c>
    </x:row>
    <x:row r="15" ht="35" customHeight="1">
      <x:c r="A15" s="7" t="str">
        <x:v>F01</x:v>
      </x:c>
      <x:c r="B15" s="12" t="str">
        <x:v>Prickly Acacia</x:v>
      </x:c>
      <x:c r="C15" s="7" t="n">
        <x:v>213</x:v>
      </x:c>
      <x:c r="D15" s="40"/>
      <x:c r="E15" s="40"/>
      <x:c r="F15" s="40"/>
      <x:c r="G15" s="12" t="str">
        <x:v>Chưa có dự đoán test</x:v>
      </x:c>
    </x:row>
    <x:row r="16" ht="35" customHeight="1">
      <x:c r="A16" s="7" t="str">
        <x:v>F01</x:v>
      </x:c>
      <x:c r="B16" s="12" t="str">
        <x:v>Rubber Vine</x:v>
      </x:c>
      <x:c r="C16" s="7" t="n">
        <x:v>202</x:v>
      </x:c>
      <x:c r="D16" s="40"/>
      <x:c r="E16" s="40"/>
      <x:c r="F16" s="40"/>
      <x:c r="G16" s="12" t="str">
        <x:v>Chưa có dự đoán test</x:v>
      </x:c>
    </x:row>
    <x:row r="17" ht="35" customHeight="1">
      <x:c r="A17" s="7" t="str">
        <x:v>F01</x:v>
      </x:c>
      <x:c r="B17" s="12" t="str">
        <x:v>Siam Weed</x:v>
      </x:c>
      <x:c r="C17" s="7" t="n">
        <x:v>215</x:v>
      </x:c>
      <x:c r="D17" s="40"/>
      <x:c r="E17" s="40"/>
      <x:c r="F17" s="40"/>
      <x:c r="G17" s="12" t="str">
        <x:v>Chưa có dự đoán test</x:v>
      </x:c>
    </x:row>
    <x:row r="18" ht="35" customHeight="1">
      <x:c r="A18" s="7" t="str">
        <x:v>F01</x:v>
      </x:c>
      <x:c r="B18" s="12" t="str">
        <x:v>Snake Weed</x:v>
      </x:c>
      <x:c r="C18" s="7" t="n">
        <x:v>204</x:v>
      </x:c>
      <x:c r="D18" s="40"/>
      <x:c r="E18" s="40"/>
      <x:c r="F18" s="40"/>
      <x:c r="G18" s="12" t="str">
        <x:v>Chưa có dự đoán test</x:v>
      </x:c>
    </x:row>
    <x:row r="19" ht="35" customHeight="1">
      <x:c r="A19" s="7" t="str">
        <x:v>F01</x:v>
      </x:c>
      <x:c r="B19" s="12" t="str">
        <x:v>Negatives</x:v>
      </x:c>
      <x:c r="C19" s="7" t="n">
        <x:v>1822</x:v>
      </x:c>
      <x:c r="D19" s="40"/>
      <x:c r="E19" s="40"/>
      <x:c r="F19" s="40"/>
      <x:c r="G19" s="12" t="str">
        <x:v>Chưa có dự đoán test</x:v>
      </x:c>
    </x:row>
    <x:row r="22">
      <x:c r="A22" t="str">
        <x:v>Chờ Bước 4: chưa có mean ± std, metric test hoặc dự đoán test. Không điền số val vào test.</x:v>
      </x:c>
    </x:row>
  </x:sheetData>
  <x:mergeCells>
    <x:mergeCell ref="A22:G22"/>
  </x:mergeCells>
  <x:pageMargins left="0.7" right="0.7" top="0.75" bottom="0.75" header="0.3" footer="0.3"/>
</x:worksheet>
</file>